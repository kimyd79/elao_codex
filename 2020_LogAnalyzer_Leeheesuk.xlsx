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filterPrivacy="1" defaultThemeVersion="124226"/>
  <xr:revisionPtr revIDLastSave="0" documentId="13_ncr:1_{1441DC8C-9C22-4B78-86EE-05E17F7B1EF2}" xr6:coauthVersionLast="45" xr6:coauthVersionMax="45" xr10:uidLastSave="{00000000-0000-0000-0000-000000000000}"/>
  <bookViews>
    <workbookView xWindow="-120" yWindow="-120" windowWidth="29040" windowHeight="15990" firstSheet="7" activeTab="13"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Pilot" sheetId="11" r:id="rId11"/>
    <sheet name="아키텍처" sheetId="9" r:id="rId12"/>
    <sheet name="기능요건" sheetId="8" r:id="rId13"/>
    <sheet name="기능요건_피드백" sheetId="14" r:id="rId14"/>
    <sheet name="비기능요건" sheetId="6" r:id="rId15"/>
    <sheet name="성능테스트_0717" sheetId="22" r:id="rId16"/>
    <sheet name="지원포맷" sheetId="1" r:id="rId17"/>
    <sheet name="로그로맷 항목설명" sheetId="21" r:id="rId18"/>
    <sheet name="고려사항" sheetId="5" r:id="rId19"/>
    <sheet name="기능 - AWStats" sheetId="2" r:id="rId20"/>
    <sheet name="기능 - apachelogviewer" sheetId="4" r:id="rId21"/>
    <sheet name="기능 - goaccess" sheetId="3" r:id="rId22"/>
  </sheets>
  <definedNames>
    <definedName name="_xlnm.Print_Area" localSheetId="12">기능요건!$A$1:$M$46</definedName>
  </definedNames>
  <calcPr calcId="181029"/>
  <extLs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<sst xmlns="http://schemas.openxmlformats.org/spreadsheetml/2006/main" count="2113" uniqueCount="1351">
  <si>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</si>
  <si>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</si>
  <si>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</si>
  <si>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</si>
  <si>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</si>
  <si>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</si>
  <si>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</si>
  <si>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</si>
  <si>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</si>
  <si>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</si>
  <si>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</si>
  <si>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</si>
  <si>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</si>
  <si>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</si>
  <si>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</si>
  <si>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</si>
  <si>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</si>
  <si>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</si>
  <si>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</si>
  <si>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</si>
  <si>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</si>
  <si>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</si>
  <si>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</si>
  <si>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</si>
  <si>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</si>
  <si>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</si>
  <si>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</si>
  <si>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</si>
  <si>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</si>
  <si>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</si>
  <si>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</si>
  <si>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</si>
  <si>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</si>
  <si>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</si>
  <si>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</si>
  <si>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</si>
  <si>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</si>
  <si>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</si>
  <si>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</si>
  <si>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</si>
  <si>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</si>
  <si>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</si>
  <si>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</si>
  <si>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</si>
  <si>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</si>
  <si>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</si>
  <si>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</si>
  <si>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</si>
  <si>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</si>
  <si>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</si>
  <si>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</si>
  <si>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</si>
  <si>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</si>
  <si>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</si>
  <si>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</si>
  <si>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</si>
  <si>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</si>
  <si>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</si>
  <si>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</si>
  <si>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</si>
  <si>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</si>
  <si>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</si>
  <si>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</si>
  <si>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</si>
  <si>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</si>
  <si>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</si>
  <si>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</si>
  <si>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</si>
  <si>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</si>
  <si>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</si>
  <si>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</si>
  <si>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</si>
  <si>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</si>
  <si>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</si>
  <si>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</si>
  <si>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</si>
  <si>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</si>
  <si>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</si>
  <si>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</si>
  <si>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</si>
  <si>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</si>
  <si>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</si>
  <si>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</si>
  <si>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</si>
  <si>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</si>
  <si>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</si>
  <si>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</si>
  <si>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</si>
  <si>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</si>
  <si>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</si>
  <si>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</si>
  <si>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</si>
  <si>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</si>
  <si>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</si>
  <si>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</si>
  <si>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</si>
  <si>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</si>
  <si>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</si>
  <si>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</si>
  <si>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</si>
  <si>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</si>
  <si>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</si>
  <si>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</si>
  <si>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</si>
  <si>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</si>
  <si>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</si>
  <si>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</si>
  <si>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</si>
  <si>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</si>
  <si>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</si>
  <si>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</si>
  <si>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</si>
  <si>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</si>
  <si>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</si>
  <si>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</si>
  <si>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</si>
  <si>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</si>
  <si>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</si>
  <si>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</si>
  <si>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</si>
  <si>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</si>
  <si>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</si>
  <si>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</si>
  <si>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</si>
  <si>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</si>
  <si>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</si>
  <si>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</si>
  <si>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</si>
  <si>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</si>
  <si>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</si>
  <si>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</si>
  <si>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</si>
  <si>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</si>
  <si>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</si>
  <si>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</si>
  <si>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</si>
  <si>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</si>
  <si>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</si>
  <si>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</si>
  <si>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</si>
  <si>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</si>
  <si>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</si>
  <si>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</si>
  <si>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</si>
  <si>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</si>
  <si>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</si>
  <si>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</si>
  <si>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</si>
  <si>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</si>
  <si>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</si>
  <si>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</si>
  <si>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</si>
  <si>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</si>
  <si>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</si>
  <si>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</si>
  <si>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</si>
  <si>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</si>
  <si>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</si>
  <si>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</si>
  <si>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</si>
  <si>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</si>
  <si>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</si>
  <si>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</si>
  <si>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</si>
  <si>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</si>
  <si>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</si>
  <si>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</si>
  <si>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</si>
  <si>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</si>
  <si>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</si>
  <si>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</si>
  <si>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</si>
  <si>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</si>
  <si>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</si>
  <si>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</si>
  <si>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</si>
  <si>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</si>
  <si>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</si>
  <si>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</si>
  <si>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</si>
  <si>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</si>
  <si>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</si>
  <si>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</si>
  <si>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</si>
  <si>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</si>
  <si>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</si>
  <si>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</si>
  <si>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</si>
  <si>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</si>
  <si>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</si>
  <si>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</si>
  <si>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</si>
  <si>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</si>
  <si>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</si>
  <si>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</si>
  <si>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</si>
  <si>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</si>
  <si>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</si>
  <si>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</si>
  <si>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</si>
  <si>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</si>
  <si>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</si>
  <si>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</si>
  <si>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</si>
  <si>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</si>
  <si>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</si>
  <si>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</si>
  <si>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</si>
  <si>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</si>
  <si>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</si>
  <si>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</si>
  <si>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</si>
  <si>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</si>
  <si>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</si>
  <si>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</si>
  <si>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</si>
  <si>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</si>
  <si>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</si>
  <si>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</si>
  <si>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</si>
  <si>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</si>
  <si>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</si>
  <si>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</si>
  <si>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</si>
  <si>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</si>
  <si>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</si>
  <si>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</si>
  <si>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</si>
  <si>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</si>
  <si>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</si>
  <si>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</si>
  <si>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</si>
  <si>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</si>
  <si>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</si>
  <si>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</si>
  <si>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</si>
  <si>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</si>
  <si>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</si>
  <si>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</si>
  <si>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</si>
  <si>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</si>
  <si>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</si>
  <si>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</si>
  <si>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</si>
  <si>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</si>
  <si>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</si>
  <si>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</si>
  <si>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</si>
  <si>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</si>
  <si>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</si>
  <si>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</si>
  <si>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</si>
  <si>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</si>
  <si>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</si>
  <si>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</si>
  <si>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</si>
  <si>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</si>
  <si>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</si>
  <si>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</si>
  <si>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</si>
  <si>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</si>
  <si>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</si>
  <si>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</si>
  <si>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</si>
  <si>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</si>
  <si>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</si>
  <si>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</si>
  <si>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</si>
  <si>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</si>
  <si>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</si>
  <si>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</si>
  <si>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</si>
  <si>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</si>
  <si>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</si>
  <si>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</si>
  <si>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</si>
  <si>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</si>
  <si>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</si>
  <si>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</si>
  <si>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</si>
  <si>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</si>
  <si>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</si>
  <si>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</si>
  <si>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</si>
  <si>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</si>
  <si>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</si>
  <si>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</si>
  <si>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</si>
  <si>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</si>
  <si>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</si>
  <si>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</si>
  <si>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</si>
  <si>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</si>
  <si>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</si>
  <si>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</si>
  <si>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</si>
  <si>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</si>
  <si>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</si>
  <si>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</si>
  <si>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</si>
  <si>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</si>
  <si>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</si>
  <si>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</si>
  <si>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</si>
  <si>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</si>
  <si>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</si>
  <si>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</si>
  <si>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</si>
  <si>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</si>
  <si>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</si>
  <si>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</si>
  <si>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</si>
  <si>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</si>
  <si>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</si>
  <si>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</si>
  <si>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</si>
  <si>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</si>
  <si>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</si>
  <si>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</si>
  <si>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</si>
  <si>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</si>
  <si>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</si>
  <si>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</si>
  <si>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</si>
  <si>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</si>
  <si>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</si>
  <si>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우선순위</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</si>
  <si>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</si>
  <si>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</si>
  <si>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</si>
  <si>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</si>
  <si>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</si>
  <si>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</si>
  <si>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</si>
  <si>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</si>
  <si>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</si>
  <si>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</si>
  <si>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</si>
  <si>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</si>
  <si>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</si>
  <si>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</si>
  <si>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</si>
  <si>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</si>
  <si>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</si>
  <si>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</si>
  <si>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</si>
  <si>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</si>
  <si>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</si>
  <si>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</si>
  <si>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</si>
  <si>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</si>
  <si>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</si>
  <si>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</si>
  <si>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</si>
  <si>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</si>
  <si>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</si>
  <si>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</si>
  <si>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</si>
  <si>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</si>
  <si>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</si>
  <si>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</si>
  <si>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</si>
  <si>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</si>
  <si>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</si>
  <si>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</si>
  <si>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</si>
  <si>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</si>
  <si>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</si>
  <si>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</si>
  <si>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</si>
  <si>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</si>
  <si>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</si>
  <si>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</si>
  <si>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</si>
  <si>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</si>
  <si>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</si>
  <si>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</si>
  <si>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</si>
  <si>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</si>
  <si>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</si>
  <si>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</si>
  <si>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</si>
  <si>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</si>
  <si>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</si>
  <si>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</si>
  <si>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</si>
  <si>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</si>
  <si>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</si>
  <si>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</si>
  <si>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</si>
  <si>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</si>
  <si>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</si>
  <si>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</si>
  <si>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</si>
  <si>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</si>
  <si>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</si>
  <si>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</si>
  <si>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</si>
  <si>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</si>
  <si>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</si>
  <si>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</si>
  <si>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</si>
  <si>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</si>
  <si>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</si>
  <si>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</si>
  <si>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</si>
  <si>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</si>
  <si>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</si>
  <si>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</si>
  <si>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</si>
  <si>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</si>
  <si>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</si>
  <si>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</si>
  <si>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</si>
  <si>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</si>
  <si>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</si>
  <si>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</si>
  <si>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</si>
  <si>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</si>
  <si>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</si>
  <si>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</si>
  <si>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</si>
  <si>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</si>
  <si>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</si>
  <si>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</si>
  <si>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</si>
  <si>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</si>
  <si>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</si>
  <si>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</si>
  <si>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</si>
  <si>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</si>
  <si>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</si>
  <si>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</si>
  <si>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</si>
  <si>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</si>
  <si>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</si>
  <si>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</si>
  <si>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</si>
  <si>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</si>
  <si>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</si>
  <si>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</si>
  <si>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</si>
  <si>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</si>
  <si>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</si>
  <si>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</si>
  <si>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</si>
  <si>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</si>
  <si>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</si>
  <si>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</si>
  <si>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</si>
  <si>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</si>
  <si>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</si>
  <si>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</si>
  <si>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</si>
  <si>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</si>
  <si>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</si>
  <si>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</si>
  <si>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</si>
  <si>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</si>
  <si>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</si>
  <si>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</si>
  <si>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</si>
  <si>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</si>
  <si>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</si>
  <si>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</si>
  <si>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</si>
  <si>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</si>
  <si>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</si>
  <si>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</si>
  <si>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</si>
  <si>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</si>
  <si>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</si>
  <si>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</si>
  <si>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</si>
  <si>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</si>
  <si>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</si>
  <si>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</si>
  <si>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</si>
  <si>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</si>
  <si>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</si>
  <si>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</si>
  <si>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</si>
  <si>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</si>
  <si>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</si>
  <si>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</si>
  <si>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</si>
  <si>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</si>
  <si>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</si>
  <si>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</si>
  <si>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</si>
  <si>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</si>
  <si>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</si>
  <si>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</si>
  <si>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</si>
  <si>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</si>
  <si>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</si>
  <si>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</si>
  <si>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</si>
  <si>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</si>
  <si>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</si>
  <si>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</si>
  <si>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</si>
  <si>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</si>
  <si>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</si>
  <si>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</si>
  <si>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</si>
  <si>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</si>
  <si>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</si>
  <si>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</si>
  <si>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</si>
  <si>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</si>
  <si>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</si>
  <si>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</si>
  <si>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</si>
  <si>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</si>
  <si>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</si>
  <si>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</si>
  <si>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</si>
  <si>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</si>
  <si>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</si>
  <si>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</si>
  <si>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</si>
  <si>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</si>
  <si>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</si>
  <si>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</si>
  <si>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</si>
  <si>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</si>
  <si>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</si>
  <si>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</si>
  <si>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</si>
  <si>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</si>
  <si>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</si>
  <si>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</si>
  <si>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</si>
  <si>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</si>
  <si>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</si>
  <si>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</si>
  <si>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</si>
  <si>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</si>
  <si>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</si>
  <si>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</si>
  <si>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</si>
  <si>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</si>
  <si>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</si>
  <si>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</si>
  <si>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</si>
  <si>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</si>
  <si>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</si>
  <si>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</si>
  <si>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</si>
  <si>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</si>
  <si>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</si>
  <si>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</si>
  <si>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</si>
  <si>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</si>
  <si>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</si>
  <si>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</si>
  <si>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</si>
  <si>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</si>
  <si>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</si>
  <si>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</si>
  <si>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</si>
  <si>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</si>
  <si>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</si>
  <si>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</si>
  <si>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</si>
  <si>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</si>
  <si>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</si>
  <si>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</si>
  <si>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</si>
  <si>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</si>
  <si>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</si>
  <si>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</si>
  <si>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</si>
  <si>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</si>
  <si>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</si>
  <si>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</si>
  <si>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</si>
  <si>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</si>
  <si>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</si>
  <si>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</si>
  <si>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</si>
  <si>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</si>
  <si>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</si>
  <si>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</si>
  <si>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</si>
  <si>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</si>
  <si>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</si>
  <si>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</si>
  <si>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</si>
  <si>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</si>
  <si>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</si>
  <si>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</si>
  <si>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</si>
  <si>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</si>
  <si>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</si>
  <si>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</si>
  <si>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</si>
  <si>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</si>
  <si>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</si>
  <si>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</si>
  <si>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</si>
  <si>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</si>
  <si>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</si>
  <si>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</si>
  <si>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</si>
  <si>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</si>
  <si>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</si>
  <si>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</si>
  <si>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</si>
  <si>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</si>
  <si>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</si>
  <si>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</si>
  <si>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</si>
  <si>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</si>
  <si>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</si>
  <si>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</si>
  <si>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</si>
  <si>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</si>
  <si>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</si>
  <si>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</si>
  <si>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</si>
  <si>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</si>
  <si>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</si>
  <si>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</si>
  <si>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</si>
  <si>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</si>
  <si>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</si>
  <si>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</si>
  <si>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</si>
  <si>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</si>
  <si>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</si>
  <si>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</si>
  <si>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</si>
  <si>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</si>
  <si>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</si>
  <si>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</si>
  <si>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</si>
  <si>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</si>
  <si>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</si>
  <si>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</si>
  <si>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</si>
  <si>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</si>
  <si>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</si>
  <si>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</si>
  <si>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</si>
  <si>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</si>
  <si>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</si>
  <si>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</si>
  <si>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</si>
  <si>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</si>
  <si>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</si>
  <si>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</si>
  <si>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</si>
  <si>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</si>
  <si>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</si>
  <si>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</si>
  <si>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</si>
  <si>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</si>
  <si>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</si>
  <si>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</si>
  <si>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</si>
  <si>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</si>
  <si>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</si>
  <si>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</si>
  <si>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</si>
  <si>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</si>
  <si>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</si>
  <si>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</si>
  <si>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</si>
  <si>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</si>
  <si>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</si>
  <si>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</si>
  <si>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</si>
  <si>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</si>
  <si>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</si>
  <si>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</si>
  <si>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</si>
  <si>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</si>
  <si>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</si>
  <si>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</si>
  <si>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</si>
  <si>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</si>
  <si>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</si>
  <si>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</si>
  <si>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</si>
  <si>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</si>
  <si>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</si>
  <si>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</si>
  <si>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</si>
  <si>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</si>
  <si>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</si>
  <si>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</si>
  <si>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</si>
  <si>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</si>
  <si>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</si>
  <si>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</si>
  <si>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</si>
  <si>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</si>
  <si>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</si>
  <si>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</si>
  <si>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</si>
  <si>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</si>
  <si>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</si>
  <si>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</si>
  <si>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</si>
  <si>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</si>
  <si>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</si>
  <si>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</si>
  <si>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</si>
  <si>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</si>
  <si>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</si>
  <si>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</si>
  <si>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</si>
  <si>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</si>
  <si>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</si>
  <si>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</si>
  <si>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</si>
  <si>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</si>
  <si>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</si>
  <si>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</si>
  <si>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</si>
  <si>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</si>
  <si>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</si>
  <si>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</si>
  <si>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</si>
  <si>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</si>
  <si>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</si>
  <si>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</si>
  <si>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</si>
  <si>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</si>
  <si>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</si>
  <si>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</si>
  <si>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</si>
  <si>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</si>
  <si>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</si>
  <si>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</si>
  <si>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</si>
  <si>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</si>
  <si>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</si>
  <si>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</si>
  <si>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</si>
  <si>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</si>
  <si>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</si>
  <si>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</si>
  <si>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</si>
  <si>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</si>
  <si>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</si>
  <si>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</si>
  <si>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</si>
  <si>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</si>
  <si>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</si>
  <si>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</si>
  <si>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</si>
  <si>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</si>
  <si>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</si>
  <si>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</si>
  <si>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</si>
  <si>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</si>
  <si>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</si>
  <si>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</si>
  <si>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</si>
  <si>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</si>
  <si>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</si>
  <si>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</si>
  <si>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</si>
  <si>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</si>
  <si>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</si>
  <si>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</si>
  <si>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</si>
  <si>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</si>
  <si>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</si>
  <si>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</si>
  <si>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</si>
  <si>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</si>
  <si>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</si>
  <si>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</si>
  <si>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</si>
  <si>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</si>
  <si>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</si>
  <si>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</si>
  <si>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</si>
  <si>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</si>
  <si>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</si>
  <si>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</si>
  <si>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</si>
  <si>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</si>
  <si>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</si>
  <si>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</si>
  <si>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</si>
  <si>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</si>
  <si>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</si>
  <si>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</si>
  <si>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</si>
  <si>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</si>
  <si>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</si>
  <si>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</si>
  <si>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</si>
  <si>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</si>
  <si>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</si>
  <si>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</si>
  <si>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</si>
  <si>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</si>
  <si>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</si>
  <si>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</si>
  <si>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</si>
  <si>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</si>
  <si>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</si>
  <si>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</si>
  <si>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</si>
  <si>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</si>
  <si>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</si>
  <si>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</si>
  <si>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</si>
  <si>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</si>
  <si>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</si>
  <si>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</si>
  <si>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</si>
  <si>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</si>
  <si>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</si>
  <si>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</si>
  <si>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</si>
  <si>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</si>
  <si>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</si>
  <si>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</si>
  <si>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</si>
  <si>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</si>
  <si>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</si>
  <si>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</si>
  <si>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</si>
  <si>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</si>
  <si>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</si>
  <si>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</si>
  <si>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</si>
  <si>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</si>
  <si>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</si>
  <si>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</si>
  <si>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</si>
  <si>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</si>
  <si>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</si>
  <si>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</si>
  <si>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</si>
  <si>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</si>
  <si>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</si>
  <si>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</si>
  <si>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</si>
  <si>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</si>
  <si>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</si>
  <si>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</si>
  <si>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</si>
  <si>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</si>
  <si>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</si>
  <si>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</si>
  <si>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</si>
  <si>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</si>
  <si>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</si>
  <si>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</si>
  <si>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</si>
  <si>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</si>
  <si>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</si>
  <si>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</si>
  <si>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</si>
  <si>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</si>
  <si>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</si>
  <si>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</si>
  <si>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</si>
  <si>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</si>
  <si>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</si>
  <si>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</si>
  <si>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</si>
  <si>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</si>
  <si>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</si>
  <si>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</si>
  <si>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</si>
  <si>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</si>
  <si>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</si>
  <si>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</si>
  <si>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</si>
  <si>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</si>
  <si>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</si>
  <si>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</si>
  <si>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</si>
  <si>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</si>
  <si>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</si>
  <si>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</si>
  <si>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</si>
  <si>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</si>
  <si>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</si>
  <si>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</si>
  <si>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</si>
  <si>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</si>
  <si>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</si>
  <si>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</si>
  <si>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</si>
  <si>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</si>
  <si>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</si>
  <si>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</si>
  <si>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</si>
  <si>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</si>
  <si>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</si>
  <si>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</si>
  <si>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</si>
  <si>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</si>
  <si>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</si>
  <si>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</si>
  <si>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</si>
  <si>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</si>
  <si>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</si>
  <si>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</si>
  <si>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</si>
  <si>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</si>
  <si>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</si>
  <si>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</si>
  <si>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</si>
  <si>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</si>
  <si>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</si>
  <si>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</si>
  <si>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</si>
  <si>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</si>
  <si>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</si>
  <si>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</si>
  <si>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</si>
  <si>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</si>
  <si>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</si>
  <si>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</si>
  <si>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</si>
  <si>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</si>
  <si>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</si>
  <si>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</si>
  <si>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</si>
  <si>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</si>
  <si>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</si>
  <si>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</si>
  <si>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</si>
  <si>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</si>
  <si>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</si>
  <si>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</si>
  <si>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</si>
  <si>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</si>
  <si>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</si>
  <si>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</si>
  <si>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</si>
  <si>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</si>
  <si>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</si>
  <si>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</si>
  <si>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</si>
  <si>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</si>
  <si>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</si>
  <si>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</si>
  <si>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</si>
  <si>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</si>
  <si>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</si>
  <si>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</si>
  <si>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</si>
  <si>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</si>
  <si>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</si>
  <si>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</si>
  <si>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</si>
  <si>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</si>
  <si>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</si>
  <si>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</si>
  <si>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</si>
  <si>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</si>
  <si>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</si>
  <si>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</si>
  <si>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</si>
  <si>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</si>
  <si>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</si>
  <si>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</si>
  <si>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</si>
  <si>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</si>
  <si>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</si>
  <si>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</si>
  <si>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</si>
  <si>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</si>
  <si>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</si>
  <si>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</si>
  <si>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</si>
  <si>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</si>
  <si>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</si>
  <si>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</si>
  <si>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</si>
  <si>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</si>
  <si>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</si>
  <si>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</si>
  <si>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</si>
  <si>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</si>
  <si>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</si>
  <si>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</si>
  <si>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</si>
  <si>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</si>
  <si>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</si>
  <si>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</si>
  <si>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</si>
  <si>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</si>
  <si>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</si>
  <si>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</si>
  <si>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</si>
  <si>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</si>
  <si>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</si>
  <si>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</si>
  <si>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</si>
  <si>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</si>
  <si>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</si>
  <si>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</si>
  <si>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</si>
  <si>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</si>
  <si>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</si>
  <si>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</si>
  <si>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</si>
  <si>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</si>
  <si>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</si>
  <si>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</si>
  <si>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</si>
  <si>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</si>
  <si>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</si>
  <si>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</si>
  <si>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</si>
  <si>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</si>
  <si>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</si>
  <si>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</si>
  <si>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</si>
  <si>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</si>
  <si>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</si>
  <si>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</si>
  <si>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</si>
  <si>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</si>
  <si>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</si>
  <si>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</si>
  <si>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</si>
  <si>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</si>
  <si>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</si>
  <si>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</si>
  <si>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</si>
  <si>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</si>
  <si>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</si>
  <si>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</si>
  <si>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</si>
  <si>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</si>
  <si>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</si>
  <si>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</si>
  <si>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</si>
  <si>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</si>
  <si>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</si>
  <si>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</si>
  <si>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</si>
  <si>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</si>
  <si>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</si>
  <si>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</si>
  <si>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</si>
  <si>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</si>
  <si>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remote_user</t>
    <phoneticPr fontId="1" type="noConversion"/>
  </si>
  <si>
    <t>HTTP Authenticated User. When the user name is not set, this field shows</t>
    <phoneticPr fontId="1" type="noConversion"/>
  </si>
  <si>
    <t>remote_addr</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</si>
  <si>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</si>
  <si>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</si>
  <si>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</si>
  <si>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</si>
  <si>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body_bytes_sent</t>
    <phoneticPr fontId="1" type="noConversion"/>
  </si>
  <si>
    <t>number of bytes sent to a client, not counting the response header</t>
    <phoneticPr fontId="1" type="noConversion"/>
  </si>
  <si>
    <t>http_referer</t>
    <phoneticPr fontId="1" type="noConversion"/>
  </si>
  <si>
    <t>identifies the address of the URI which is linked to the resource being requested</t>
    <phoneticPr fontId="1" type="noConversion"/>
  </si>
  <si>
    <t>http_user_agent</t>
    <phoneticPr fontId="1" type="noConversion"/>
  </si>
  <si>
    <t>value of standard User Agent HTTP request field</t>
    <phoneticPr fontId="1" type="noConversion"/>
  </si>
  <si>
    <t>http_x_forwarded_for</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</si>
  <si>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</si>
  <si>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</si>
  <si>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</si>
  <si>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</si>
  <si>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</si>
  <si>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</si>
  <si>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</si>
  <si>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</si>
  <si>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</si>
  <si>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</si>
  <si>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</si>
  <si>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</si>
  <si>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</si>
  <si>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request_time</t>
    <phoneticPr fontId="1" type="noConversion"/>
  </si>
  <si>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</si>
  <si>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</si>
  <si>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</si>
  <si>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</si>
  <si>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</si>
  <si>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</si>
  <si>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</si>
  <si>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</si>
  <si>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</si>
  <si>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</si>
  <si>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</si>
  <si>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</si>
  <si>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</si>
  <si>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</si>
  <si>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</si>
  <si>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</si>
  <si>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</si>
  <si>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</si>
  <si>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</si>
  <si>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</si>
  <si>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</si>
  <si>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</si>
  <si>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</si>
  <si>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</si>
  <si>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</si>
  <si>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</si>
  <si>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</si>
  <si>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</si>
  <si>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</si>
  <si>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</si>
  <si>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</si>
  <si>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</si>
  <si>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</si>
  <si>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cs(Referrer)</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</si>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</sst>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2">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s>
  <fills count="15">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
      <patternFill patternType="solid">
        <fgColor theme="0" tint="-0.14999847407452621"/>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20">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7"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7" xfId="0" applyBorder="1" applyAlignment="1">
      <alignment horizontal="left"/>
    </xf>
    <xf numFmtId="0" fontId="13" fillId="3" borderId="7"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10" xfId="0" applyFont="1" applyFill="1" applyBorder="1" applyAlignment="1">
      <alignment horizontal="left" vertical="top" wrapText="1"/>
    </xf>
    <xf numFmtId="0" fontId="23" fillId="8" borderId="10" xfId="0" applyFont="1" applyFill="1" applyBorder="1" applyAlignment="1">
      <alignment horizontal="left" vertical="top" wrapText="1"/>
    </xf>
    <xf numFmtId="0" fontId="28" fillId="8" borderId="16" xfId="0" applyFont="1" applyFill="1" applyBorder="1" applyAlignment="1">
      <alignment horizontal="left" vertical="top" wrapText="1"/>
    </xf>
    <xf numFmtId="0" fontId="15" fillId="8" borderId="17" xfId="0" applyFont="1" applyFill="1" applyBorder="1" applyAlignment="1">
      <alignment horizontal="left" vertical="top" wrapText="1"/>
    </xf>
    <xf numFmtId="0" fontId="28" fillId="8" borderId="18" xfId="0" applyFont="1" applyFill="1" applyBorder="1" applyAlignment="1">
      <alignment horizontal="left" vertical="top" wrapText="1"/>
    </xf>
    <xf numFmtId="0" fontId="15" fillId="8" borderId="19" xfId="0" applyFont="1" applyFill="1" applyBorder="1" applyAlignment="1">
      <alignment horizontal="left" vertical="top" wrapText="1"/>
    </xf>
    <xf numFmtId="0" fontId="28" fillId="8" borderId="20" xfId="0" applyFont="1" applyFill="1" applyBorder="1" applyAlignment="1">
      <alignment horizontal="left" vertical="top" wrapText="1"/>
    </xf>
    <xf numFmtId="0" fontId="15" fillId="8" borderId="21" xfId="0" applyFont="1" applyFill="1" applyBorder="1" applyAlignment="1">
      <alignment horizontal="lef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3" fillId="8" borderId="15" xfId="0" applyFont="1" applyFill="1" applyBorder="1" applyAlignment="1">
      <alignment vertical="top" wrapText="1"/>
    </xf>
    <xf numFmtId="0" fontId="21" fillId="7" borderId="10"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2"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12" fillId="14" borderId="1" xfId="0" applyFont="1" applyFill="1" applyBorder="1"/>
    <xf numFmtId="0" fontId="14" fillId="14" borderId="1" xfId="0" applyFont="1" applyFill="1" applyBorder="1"/>
    <xf numFmtId="0" fontId="0" fillId="0" borderId="1" xfId="0" applyBorder="1" applyAlignment="1">
      <alignment horizontal="left" vertical="center"/>
    </xf>
    <xf numFmtId="0" fontId="36" fillId="0" borderId="1" xfId="0" applyFont="1" applyBorder="1"/>
    <xf numFmtId="0" fontId="36" fillId="0" borderId="1" xfId="0" applyFont="1" applyBorder="1" applyAlignment="1">
      <alignment horizontal="left" vertical="top" wrapText="1"/>
    </xf>
    <xf numFmtId="0" fontId="36" fillId="0" borderId="0" xfId="0" applyFont="1" applyAlignment="1">
      <alignment horizontal="left" vertical="top" wrapText="1"/>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3" xfId="0" applyBorder="1"/>
    <xf numFmtId="0" fontId="0" fillId="2" borderId="23"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0" fontId="0" fillId="3" borderId="7" xfId="0" applyFill="1" applyBorder="1" applyAlignment="1">
      <alignment horizontal="center"/>
    </xf>
    <xf numFmtId="0" fontId="0" fillId="3" borderId="8" xfId="0" applyFill="1" applyBorder="1" applyAlignment="1">
      <alignment horizontal="center"/>
    </xf>
    <xf numFmtId="0" fontId="0" fillId="3" borderId="9" xfId="0" applyFill="1"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0" borderId="9"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2" borderId="0" xfId="0" applyFill="1" applyAlignment="1">
      <alignment horizontal="left" vertical="center"/>
    </xf>
    <xf numFmtId="0" fontId="0" fillId="0" borderId="0" xfId="0" applyAlignment="1">
      <alignment horizontal="left" vertical="center"/>
    </xf>
    <xf numFmtId="0" fontId="21" fillId="7" borderId="11" xfId="0" applyFont="1" applyFill="1" applyBorder="1" applyAlignment="1">
      <alignment horizontal="center" vertical="top" wrapText="1"/>
    </xf>
    <xf numFmtId="0" fontId="21" fillId="7" borderId="12" xfId="0" applyFont="1" applyFill="1" applyBorder="1" applyAlignment="1">
      <alignment horizontal="center" vertical="top" wrapText="1"/>
    </xf>
    <xf numFmtId="0" fontId="22" fillId="8" borderId="11" xfId="0" applyFont="1" applyFill="1" applyBorder="1" applyAlignment="1">
      <alignment horizontal="left" vertical="top" wrapText="1"/>
    </xf>
    <xf numFmtId="0" fontId="22" fillId="8" borderId="12" xfId="0" applyFont="1" applyFill="1" applyBorder="1" applyAlignment="1">
      <alignment horizontal="left" vertical="top" wrapText="1"/>
    </xf>
    <xf numFmtId="0" fontId="22" fillId="8" borderId="20" xfId="0" applyFont="1" applyFill="1" applyBorder="1" applyAlignment="1">
      <alignment horizontal="left" vertical="center" wrapText="1"/>
    </xf>
    <xf numFmtId="0" fontId="22" fillId="8" borderId="21" xfId="0" applyFont="1" applyFill="1" applyBorder="1" applyAlignment="1">
      <alignment horizontal="left" vertical="center" wrapText="1"/>
    </xf>
    <xf numFmtId="0" fontId="11" fillId="6" borderId="11" xfId="1" applyFill="1" applyBorder="1" applyAlignment="1">
      <alignment horizontal="left" vertical="top" wrapText="1"/>
    </xf>
    <xf numFmtId="0" fontId="11" fillId="6" borderId="12" xfId="1" applyFill="1" applyBorder="1" applyAlignment="1">
      <alignment horizontal="left" vertical="top" wrapText="1"/>
    </xf>
    <xf numFmtId="0" fontId="22" fillId="6" borderId="11" xfId="0" applyFont="1" applyFill="1" applyBorder="1" applyAlignment="1">
      <alignment horizontal="left" vertical="top" wrapText="1"/>
    </xf>
    <xf numFmtId="0" fontId="22" fillId="6" borderId="12" xfId="0" applyFont="1" applyFill="1" applyBorder="1" applyAlignment="1">
      <alignment horizontal="left" vertical="top" wrapText="1"/>
    </xf>
    <xf numFmtId="0" fontId="11" fillId="8" borderId="11" xfId="1" applyFill="1" applyBorder="1" applyAlignment="1">
      <alignment horizontal="left" vertical="top" wrapText="1"/>
    </xf>
    <xf numFmtId="0" fontId="11" fillId="8" borderId="12" xfId="1" applyFill="1" applyBorder="1" applyAlignment="1">
      <alignment horizontal="left" vertical="top" wrapText="1"/>
    </xf>
    <xf numFmtId="0" fontId="23" fillId="8" borderId="11" xfId="0" applyFont="1" applyFill="1" applyBorder="1" applyAlignment="1">
      <alignment horizontal="left" vertical="top" wrapText="1"/>
    </xf>
    <xf numFmtId="0" fontId="23" fillId="8" borderId="12" xfId="0" applyFont="1" applyFill="1" applyBorder="1" applyAlignment="1">
      <alignment horizontal="left" vertical="top" wrapText="1"/>
    </xf>
    <xf numFmtId="0" fontId="0" fillId="2" borderId="5" xfId="0" applyFill="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7" xfId="0" applyFont="1" applyFill="1" applyBorder="1" applyAlignment="1">
      <alignment horizontal="center" vertical="center" wrapText="1"/>
    </xf>
    <xf numFmtId="0" fontId="13" fillId="3" borderId="9" xfId="0" applyFont="1" applyFill="1"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14" fontId="0" fillId="0" borderId="7"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0" fillId="0" borderId="6" xfId="0" applyFill="1" applyBorder="1" applyAlignment="1">
      <alignment horizontal="center"/>
    </xf>
    <xf numFmtId="0" fontId="0" fillId="0" borderId="0" xfId="0" applyFill="1" applyBorder="1" applyAlignment="1">
      <alignment horizontal="center"/>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3" Type="http://schemas.openxmlformats.org/officeDocument/2006/relationships/image" Target="../media/image25.png"/><Relationship Id="rId2" Type="http://schemas.openxmlformats.org/officeDocument/2006/relationships/image" Target="../media/image24.png"/><Relationship Id="rId1" Type="http://schemas.openxmlformats.org/officeDocument/2006/relationships/image" Target="../media/image23.png"/><Relationship Id="rId5" Type="http://schemas.openxmlformats.org/officeDocument/2006/relationships/image" Target="../media/image27.png"/><Relationship Id="rId4" Type="http://schemas.openxmlformats.org/officeDocument/2006/relationships/image" Target="../media/image26.png"/></Relationships>
</file>

<file path=xl/drawings/_rels/drawing8.xml.rels><?xml version="1.0" encoding="UTF-8" standalone="yes"?>
<Relationships xmlns="http://schemas.openxmlformats.org/package/2006/relationships"><Relationship Id="rId1" Type="http://schemas.openxmlformats.org/officeDocument/2006/relationships/image" Target="../media/image28.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5.bin"/><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https://docs.microsoft.com/en-us/windows/win32/http/ncsa-logging" TargetMode="External"/><Relationship Id="rId1" Type="http://schemas.openxmlformats.org/officeDocument/2006/relationships/hyperlink" Target="https://docs.microsoft.com/en-us/windows/win32/http/w3c-logging" TargetMode="External"/></Relationships>
</file>

<file path=xl/worksheets/_rels/sheet18.xml.rels><?xml version="1.0" encoding="UTF-8" standalone="yes"?>
<Relationships xmlns="http://schemas.openxmlformats.org/package/2006/relationships"><Relationship Id="rId3" Type="http://schemas.openxmlformats.org/officeDocument/2006/relationships/hyperlink" Target="https://docs.microsoft.com/en-us/windows/win32/http/w3c-logging"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printerSettings" Target="../printerSettings/printerSettings15.bin"/><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405</v>
      </c>
      <c r="K1" t="s">
        <v>408</v>
      </c>
    </row>
    <row r="2" spans="1:11">
      <c r="K2" s="7" t="s">
        <v>409</v>
      </c>
    </row>
    <row r="17" spans="1:13">
      <c r="J17" s="19"/>
      <c r="K17" s="154" t="s">
        <v>537</v>
      </c>
      <c r="L17" s="155"/>
      <c r="M17" s="156"/>
    </row>
    <row r="18" spans="1:13">
      <c r="J18" s="19">
        <v>1</v>
      </c>
      <c r="K18" s="157" t="s">
        <v>538</v>
      </c>
      <c r="L18" s="158"/>
      <c r="M18" s="159"/>
    </row>
    <row r="19" spans="1:13">
      <c r="J19" s="19">
        <v>2</v>
      </c>
      <c r="K19" s="157" t="s">
        <v>539</v>
      </c>
      <c r="L19" s="158"/>
      <c r="M19" s="159"/>
    </row>
    <row r="20" spans="1:13">
      <c r="J20" s="19">
        <v>3</v>
      </c>
      <c r="K20" s="157" t="s">
        <v>540</v>
      </c>
      <c r="L20" s="158"/>
      <c r="M20" s="159"/>
    </row>
    <row r="21" spans="1:13">
      <c r="J21" s="19">
        <v>4</v>
      </c>
      <c r="K21" s="157" t="s">
        <v>541</v>
      </c>
      <c r="L21" s="158"/>
      <c r="M21" s="159"/>
    </row>
    <row r="27" spans="1:13">
      <c r="A27" s="43" t="s">
        <v>535</v>
      </c>
      <c r="B27" s="44" t="s">
        <v>536</v>
      </c>
    </row>
    <row r="51" spans="15:19">
      <c r="O51" s="5" t="s">
        <v>543</v>
      </c>
    </row>
    <row r="52" spans="15:19">
      <c r="O52" t="s">
        <v>545</v>
      </c>
    </row>
    <row r="53" spans="15:19">
      <c r="O53" t="s">
        <v>546</v>
      </c>
    </row>
    <row r="54" spans="15:19">
      <c r="O54" s="5" t="s">
        <v>548</v>
      </c>
      <c r="Q54" s="51" t="s">
        <v>549</v>
      </c>
      <c r="R54" t="s">
        <v>550</v>
      </c>
      <c r="S54" t="s">
        <v>551</v>
      </c>
    </row>
    <row r="55" spans="15:19">
      <c r="O55" t="s">
        <v>552</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537</v>
      </c>
      <c r="B1" s="53"/>
      <c r="C1" s="53"/>
    </row>
    <row r="2" spans="1:13">
      <c r="A2" s="54" t="s">
        <v>538</v>
      </c>
      <c r="B2" s="53"/>
      <c r="C2" s="53"/>
      <c r="M2" s="5" t="s">
        <v>798</v>
      </c>
    </row>
    <row r="3" spans="1:13">
      <c r="A3" s="54" t="s">
        <v>539</v>
      </c>
      <c r="B3" s="53"/>
      <c r="C3" s="53"/>
      <c r="M3" t="s">
        <v>799</v>
      </c>
    </row>
    <row r="4" spans="1:13">
      <c r="A4" s="54" t="s">
        <v>540</v>
      </c>
      <c r="B4" s="53"/>
      <c r="C4" s="53"/>
      <c r="M4" t="s">
        <v>800</v>
      </c>
    </row>
    <row r="5" spans="1:13">
      <c r="A5" s="54" t="s">
        <v>541</v>
      </c>
      <c r="B5" s="53"/>
      <c r="C5" s="53"/>
    </row>
    <row r="7" spans="1:13">
      <c r="A7" s="43" t="s">
        <v>553</v>
      </c>
      <c r="B7" s="44" t="s">
        <v>554</v>
      </c>
    </row>
    <row r="28" spans="15:19">
      <c r="O28" s="6" t="s">
        <v>567</v>
      </c>
    </row>
    <row r="29" spans="15:19">
      <c r="O29" s="5" t="s">
        <v>543</v>
      </c>
      <c r="P29" s="5"/>
      <c r="Q29" s="5" t="s">
        <v>565</v>
      </c>
      <c r="R29" s="5"/>
    </row>
    <row r="30" spans="15:19">
      <c r="O30" s="5" t="s">
        <v>545</v>
      </c>
      <c r="P30" s="5"/>
      <c r="Q30" s="5"/>
      <c r="R30" s="5"/>
    </row>
    <row r="31" spans="15:19">
      <c r="O31" s="5" t="s">
        <v>546</v>
      </c>
      <c r="P31" s="5" t="s">
        <v>566</v>
      </c>
      <c r="Q31" s="5"/>
      <c r="R31" s="5"/>
    </row>
    <row r="32" spans="15:19">
      <c r="O32" s="5" t="s">
        <v>548</v>
      </c>
      <c r="P32" s="5"/>
      <c r="Q32" s="59" t="s">
        <v>549</v>
      </c>
      <c r="R32" s="5" t="s">
        <v>550</v>
      </c>
      <c r="S32" t="s">
        <v>551</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873</v>
      </c>
      <c r="N4" t="s">
        <v>874</v>
      </c>
      <c r="O4" t="s">
        <v>875</v>
      </c>
    </row>
    <row r="5" spans="11:18">
      <c r="M5" t="s">
        <v>869</v>
      </c>
      <c r="N5" t="s">
        <v>877</v>
      </c>
      <c r="P5" t="s">
        <v>878</v>
      </c>
    </row>
    <row r="6" spans="11:18">
      <c r="M6" t="s">
        <v>868</v>
      </c>
      <c r="N6" t="s">
        <v>876</v>
      </c>
      <c r="O6" t="s">
        <v>870</v>
      </c>
      <c r="P6" t="s">
        <v>879</v>
      </c>
    </row>
    <row r="7" spans="11:18">
      <c r="O7" t="s">
        <v>871</v>
      </c>
    </row>
    <row r="8" spans="11:18" ht="35.25" customHeight="1">
      <c r="N8" s="106"/>
      <c r="O8" s="106" t="s">
        <v>872</v>
      </c>
    </row>
    <row r="9" spans="11:18">
      <c r="K9" s="147" t="s">
        <v>1267</v>
      </c>
    </row>
    <row r="10" spans="11:18">
      <c r="K10" s="147">
        <v>0</v>
      </c>
      <c r="L10" s="109" t="s">
        <v>908</v>
      </c>
      <c r="M10" s="109" t="s">
        <v>909</v>
      </c>
      <c r="O10" s="5" t="s">
        <v>1264</v>
      </c>
      <c r="P10" s="5" t="s">
        <v>1265</v>
      </c>
    </row>
    <row r="11" spans="11:18" ht="15.75" thickBot="1">
      <c r="K11" s="147"/>
      <c r="L11" s="145"/>
      <c r="M11" s="145"/>
      <c r="N11" s="145"/>
      <c r="O11" s="145"/>
      <c r="P11" s="145"/>
      <c r="Q11" s="145"/>
      <c r="R11" s="145"/>
    </row>
    <row r="12" spans="11:18">
      <c r="K12" s="147">
        <v>1</v>
      </c>
      <c r="L12" s="5" t="s">
        <v>889</v>
      </c>
    </row>
    <row r="13" spans="11:18">
      <c r="K13" s="147"/>
      <c r="M13" t="s">
        <v>880</v>
      </c>
      <c r="N13" t="s">
        <v>881</v>
      </c>
      <c r="O13" t="s">
        <v>882</v>
      </c>
    </row>
    <row r="14" spans="11:18">
      <c r="K14" s="147"/>
      <c r="L14" s="6" t="s">
        <v>887</v>
      </c>
      <c r="M14" t="s">
        <v>883</v>
      </c>
    </row>
    <row r="15" spans="11:18">
      <c r="K15" s="147"/>
      <c r="M15" t="s">
        <v>884</v>
      </c>
    </row>
    <row r="16" spans="11:18">
      <c r="K16" s="147"/>
      <c r="O16" s="5" t="s">
        <v>1266</v>
      </c>
      <c r="P16" s="5" t="s">
        <v>890</v>
      </c>
    </row>
    <row r="17" spans="7:24">
      <c r="K17" s="147"/>
    </row>
    <row r="18" spans="7:24">
      <c r="K18" s="147"/>
    </row>
    <row r="19" spans="7:24">
      <c r="K19" s="147"/>
    </row>
    <row r="20" spans="7:24">
      <c r="K20" s="147"/>
      <c r="L20" s="6" t="s">
        <v>882</v>
      </c>
      <c r="M20" t="s">
        <v>883</v>
      </c>
      <c r="N20" t="s">
        <v>884</v>
      </c>
      <c r="O20" t="s">
        <v>885</v>
      </c>
      <c r="P20" t="s">
        <v>886</v>
      </c>
    </row>
    <row r="21" spans="7:24">
      <c r="K21" s="147"/>
      <c r="M21" t="s">
        <v>888</v>
      </c>
      <c r="V21" s="94" t="s">
        <v>830</v>
      </c>
    </row>
    <row r="22" spans="7:24">
      <c r="K22" s="147"/>
      <c r="V22" s="163" t="s">
        <v>832</v>
      </c>
      <c r="W22" s="9" t="s">
        <v>814</v>
      </c>
      <c r="X22" s="92" t="s">
        <v>818</v>
      </c>
    </row>
    <row r="23" spans="7:24" ht="15.75" thickBot="1">
      <c r="K23" s="147"/>
      <c r="L23" s="145"/>
      <c r="M23" s="145"/>
      <c r="N23" s="145"/>
      <c r="O23" s="146" t="s">
        <v>1266</v>
      </c>
      <c r="P23" s="146" t="s">
        <v>1268</v>
      </c>
      <c r="Q23" s="145"/>
      <c r="R23" s="145"/>
      <c r="V23" s="164"/>
      <c r="W23" s="9" t="s">
        <v>815</v>
      </c>
      <c r="X23" s="92" t="s">
        <v>818</v>
      </c>
    </row>
    <row r="24" spans="7:24">
      <c r="K24" s="147"/>
      <c r="V24" s="164"/>
      <c r="W24" s="9" t="s">
        <v>816</v>
      </c>
      <c r="X24" s="92" t="s">
        <v>819</v>
      </c>
    </row>
    <row r="25" spans="7:24">
      <c r="K25" s="147">
        <v>2</v>
      </c>
      <c r="L25" s="5" t="s">
        <v>891</v>
      </c>
      <c r="V25" s="164"/>
      <c r="W25" s="9" t="s">
        <v>817</v>
      </c>
      <c r="X25" s="92" t="s">
        <v>819</v>
      </c>
    </row>
    <row r="26" spans="7:24">
      <c r="K26" s="147"/>
      <c r="M26" s="110" t="s">
        <v>893</v>
      </c>
      <c r="N26" t="s">
        <v>895</v>
      </c>
      <c r="O26" t="s">
        <v>897</v>
      </c>
      <c r="V26" s="164"/>
      <c r="W26" s="9" t="s">
        <v>824</v>
      </c>
      <c r="X26" s="92"/>
    </row>
    <row r="27" spans="7:24">
      <c r="K27" s="147"/>
      <c r="M27" t="s">
        <v>894</v>
      </c>
      <c r="N27" t="s">
        <v>896</v>
      </c>
      <c r="V27" s="164"/>
      <c r="W27" s="9" t="s">
        <v>825</v>
      </c>
      <c r="X27" s="92"/>
    </row>
    <row r="28" spans="7:24">
      <c r="K28" s="147"/>
      <c r="N28" t="s">
        <v>898</v>
      </c>
      <c r="V28" s="164"/>
      <c r="W28" s="9" t="s">
        <v>826</v>
      </c>
      <c r="X28" s="92" t="s">
        <v>828</v>
      </c>
    </row>
    <row r="29" spans="7:24">
      <c r="K29" s="147"/>
      <c r="N29" t="s">
        <v>899</v>
      </c>
      <c r="V29" s="165"/>
      <c r="W29" s="9" t="s">
        <v>827</v>
      </c>
      <c r="X29" s="92" t="s">
        <v>829</v>
      </c>
    </row>
    <row r="30" spans="7:24">
      <c r="K30" s="147"/>
      <c r="M30" t="s">
        <v>900</v>
      </c>
      <c r="N30" t="s">
        <v>852</v>
      </c>
      <c r="V30" s="160" t="s">
        <v>831</v>
      </c>
      <c r="W30" s="49" t="s">
        <v>821</v>
      </c>
      <c r="X30" s="112"/>
    </row>
    <row r="31" spans="7:24">
      <c r="K31" s="147"/>
      <c r="N31" t="s">
        <v>901</v>
      </c>
      <c r="V31" s="161"/>
      <c r="W31" s="49" t="s">
        <v>822</v>
      </c>
      <c r="X31" s="112"/>
    </row>
    <row r="32" spans="7:24" ht="15.75" thickBot="1">
      <c r="G32" t="s">
        <v>910</v>
      </c>
      <c r="K32" s="147"/>
      <c r="L32" s="145"/>
      <c r="M32" s="145"/>
      <c r="N32" s="145"/>
      <c r="O32" s="146" t="s">
        <v>902</v>
      </c>
      <c r="P32" s="146" t="s">
        <v>903</v>
      </c>
      <c r="Q32" s="145"/>
      <c r="R32" s="145"/>
      <c r="V32" s="162"/>
      <c r="W32" s="49" t="s">
        <v>823</v>
      </c>
      <c r="X32" s="112"/>
    </row>
    <row r="33" spans="6:17">
      <c r="F33">
        <v>1</v>
      </c>
      <c r="G33" t="s">
        <v>911</v>
      </c>
      <c r="K33" s="147"/>
    </row>
    <row r="34" spans="6:17">
      <c r="F34">
        <v>2</v>
      </c>
      <c r="G34" t="s">
        <v>912</v>
      </c>
      <c r="K34" s="147">
        <v>3</v>
      </c>
      <c r="L34" s="5" t="s">
        <v>904</v>
      </c>
      <c r="M34" t="s">
        <v>905</v>
      </c>
    </row>
    <row r="35" spans="6:17">
      <c r="F35">
        <v>2</v>
      </c>
      <c r="G35" t="s">
        <v>913</v>
      </c>
      <c r="M35" t="s">
        <v>906</v>
      </c>
    </row>
    <row r="36" spans="6:17">
      <c r="F36" s="7" t="s">
        <v>914</v>
      </c>
      <c r="M36" t="s">
        <v>883</v>
      </c>
    </row>
    <row r="37" spans="6:17">
      <c r="M37" t="s">
        <v>884</v>
      </c>
    </row>
    <row r="38" spans="6:17">
      <c r="M38" t="s">
        <v>893</v>
      </c>
    </row>
    <row r="39" spans="6:17">
      <c r="M39" t="s">
        <v>894</v>
      </c>
    </row>
    <row r="40" spans="6:17">
      <c r="M40" t="s">
        <v>900</v>
      </c>
    </row>
    <row r="41" spans="6:17" ht="15.75" thickBot="1">
      <c r="L41" s="145"/>
      <c r="M41" s="145"/>
      <c r="N41" s="145"/>
      <c r="O41" s="146" t="s">
        <v>907</v>
      </c>
      <c r="P41" s="146" t="s">
        <v>892</v>
      </c>
      <c r="Q41" s="145"/>
    </row>
    <row r="44" spans="6:17">
      <c r="P44" s="144"/>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805</v>
      </c>
      <c r="S4" s="93" t="s">
        <v>806</v>
      </c>
    </row>
    <row r="5" spans="3:20">
      <c r="O5" s="81" t="s">
        <v>833</v>
      </c>
      <c r="P5" s="81">
        <v>1</v>
      </c>
      <c r="Q5" s="9" t="s">
        <v>314</v>
      </c>
      <c r="R5" s="13" t="s">
        <v>352</v>
      </c>
      <c r="S5" s="166" t="s">
        <v>809</v>
      </c>
    </row>
    <row r="6" spans="3:20">
      <c r="O6" s="81" t="s">
        <v>837</v>
      </c>
      <c r="P6" s="81">
        <v>2</v>
      </c>
      <c r="Q6" s="9" t="s">
        <v>601</v>
      </c>
      <c r="R6" s="9" t="s">
        <v>602</v>
      </c>
      <c r="S6" s="166"/>
    </row>
    <row r="7" spans="3:20">
      <c r="O7" s="81" t="s">
        <v>834</v>
      </c>
      <c r="P7" s="81">
        <v>3</v>
      </c>
      <c r="Q7" s="9" t="s">
        <v>345</v>
      </c>
      <c r="R7" s="9" t="s">
        <v>603</v>
      </c>
      <c r="S7" s="166"/>
    </row>
    <row r="8" spans="3:20">
      <c r="O8" s="81" t="s">
        <v>835</v>
      </c>
      <c r="P8" s="81">
        <v>4</v>
      </c>
      <c r="Q8" s="9" t="s">
        <v>346</v>
      </c>
      <c r="R8" s="9" t="s">
        <v>350</v>
      </c>
      <c r="S8" s="166"/>
    </row>
    <row r="9" spans="3:20">
      <c r="O9" s="81" t="s">
        <v>836</v>
      </c>
      <c r="P9" s="81">
        <v>5</v>
      </c>
      <c r="Q9" s="9" t="s">
        <v>315</v>
      </c>
      <c r="R9" s="9" t="s">
        <v>349</v>
      </c>
      <c r="S9" s="166"/>
    </row>
    <row r="10" spans="3:20">
      <c r="Q10" s="9" t="s">
        <v>347</v>
      </c>
      <c r="R10" s="9" t="s">
        <v>348</v>
      </c>
      <c r="S10" s="93" t="s">
        <v>808</v>
      </c>
      <c r="T10" t="s">
        <v>807</v>
      </c>
    </row>
    <row r="14" spans="3:20">
      <c r="C14" t="s">
        <v>801</v>
      </c>
      <c r="Q14" s="94" t="s">
        <v>830</v>
      </c>
    </row>
    <row r="15" spans="3:20">
      <c r="Q15" s="163" t="s">
        <v>832</v>
      </c>
      <c r="R15" s="9" t="s">
        <v>814</v>
      </c>
      <c r="S15" s="92" t="s">
        <v>818</v>
      </c>
    </row>
    <row r="16" spans="3:20">
      <c r="C16" s="10" t="s">
        <v>313</v>
      </c>
      <c r="D16" s="92" t="s">
        <v>810</v>
      </c>
      <c r="E16" s="10" t="s">
        <v>314</v>
      </c>
      <c r="F16" s="10" t="s">
        <v>312</v>
      </c>
      <c r="G16" s="10" t="s">
        <v>811</v>
      </c>
      <c r="H16" s="10" t="s">
        <v>812</v>
      </c>
      <c r="I16" s="10" t="s">
        <v>315</v>
      </c>
      <c r="J16" s="10" t="s">
        <v>813</v>
      </c>
      <c r="Q16" s="164"/>
      <c r="R16" s="9" t="s">
        <v>815</v>
      </c>
      <c r="S16" s="92" t="s">
        <v>818</v>
      </c>
    </row>
    <row r="17" spans="10:19">
      <c r="J17" s="81"/>
      <c r="Q17" s="164"/>
      <c r="R17" s="9" t="s">
        <v>816</v>
      </c>
      <c r="S17" s="92" t="s">
        <v>819</v>
      </c>
    </row>
    <row r="18" spans="10:19">
      <c r="Q18" s="164"/>
      <c r="R18" s="9" t="s">
        <v>817</v>
      </c>
      <c r="S18" s="92" t="s">
        <v>819</v>
      </c>
    </row>
    <row r="19" spans="10:19">
      <c r="Q19" s="164"/>
      <c r="R19" s="9" t="s">
        <v>824</v>
      </c>
      <c r="S19" s="92"/>
    </row>
    <row r="20" spans="10:19">
      <c r="Q20" s="164"/>
      <c r="R20" s="9" t="s">
        <v>825</v>
      </c>
      <c r="S20" s="92"/>
    </row>
    <row r="21" spans="10:19">
      <c r="Q21" s="164"/>
      <c r="R21" s="9" t="s">
        <v>826</v>
      </c>
      <c r="S21" s="92" t="s">
        <v>828</v>
      </c>
    </row>
    <row r="22" spans="10:19">
      <c r="Q22" s="165"/>
      <c r="R22" s="9" t="s">
        <v>827</v>
      </c>
      <c r="S22" s="92" t="s">
        <v>829</v>
      </c>
    </row>
    <row r="23" spans="10:19">
      <c r="Q23" s="163" t="s">
        <v>831</v>
      </c>
      <c r="R23" s="9" t="s">
        <v>821</v>
      </c>
      <c r="S23" s="92"/>
    </row>
    <row r="24" spans="10:19">
      <c r="Q24" s="164"/>
      <c r="R24" s="9" t="s">
        <v>822</v>
      </c>
      <c r="S24" s="92"/>
    </row>
    <row r="25" spans="10:19">
      <c r="Q25" s="165"/>
      <c r="R25" s="9" t="s">
        <v>823</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967</v>
      </c>
    </row>
    <row r="14" spans="14:14">
      <c r="N14" t="s">
        <v>968</v>
      </c>
    </row>
    <row r="15" spans="14:14">
      <c r="N15" t="s">
        <v>969</v>
      </c>
    </row>
    <row r="24" spans="14:14">
      <c r="N24" t="s">
        <v>970</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2"/>
  <sheetViews>
    <sheetView zoomScaleNormal="100" workbookViewId="0">
      <selection activeCell="A36" sqref="A36"/>
    </sheetView>
  </sheetViews>
  <sheetFormatPr defaultRowHeight="15"/>
  <cols>
    <col min="1" max="1" width="114" bestFit="1" customWidth="1"/>
    <col min="8" max="8" width="9.5703125" bestFit="1" customWidth="1"/>
  </cols>
  <sheetData>
    <row r="1" spans="1:17">
      <c r="A1" t="s">
        <v>859</v>
      </c>
      <c r="B1" t="s">
        <v>860</v>
      </c>
      <c r="J1" s="167" t="s">
        <v>952</v>
      </c>
      <c r="K1" s="168"/>
      <c r="L1" s="168"/>
      <c r="M1" s="168"/>
      <c r="N1" s="168"/>
      <c r="O1" s="168"/>
      <c r="P1" s="168"/>
      <c r="Q1" s="168"/>
    </row>
    <row r="2" spans="1:17">
      <c r="J2" s="168"/>
      <c r="K2" s="168"/>
      <c r="L2" s="168"/>
      <c r="M2" s="168"/>
      <c r="N2" s="168"/>
      <c r="O2" s="168"/>
      <c r="P2" s="168"/>
      <c r="Q2" s="168"/>
    </row>
    <row r="3" spans="1:17">
      <c r="A3" s="6" t="s">
        <v>861</v>
      </c>
      <c r="J3" s="168"/>
      <c r="K3" s="168"/>
      <c r="L3" s="168"/>
      <c r="M3" s="168"/>
      <c r="N3" s="168"/>
      <c r="O3" s="168"/>
      <c r="P3" s="168"/>
      <c r="Q3" s="168"/>
    </row>
    <row r="4" spans="1:17">
      <c r="A4" t="s">
        <v>859</v>
      </c>
      <c r="B4" t="s">
        <v>862</v>
      </c>
      <c r="D4" t="s">
        <v>863</v>
      </c>
      <c r="J4" s="168"/>
      <c r="K4" s="168"/>
      <c r="L4" s="168"/>
      <c r="M4" s="168"/>
      <c r="N4" s="168"/>
      <c r="O4" s="168"/>
      <c r="P4" s="168"/>
      <c r="Q4" s="168"/>
    </row>
    <row r="5" spans="1:17">
      <c r="J5" s="168"/>
      <c r="K5" s="168"/>
      <c r="L5" s="168"/>
      <c r="M5" s="168"/>
      <c r="N5" s="168"/>
      <c r="O5" s="168"/>
      <c r="P5" s="168"/>
      <c r="Q5" s="168"/>
    </row>
    <row r="6" spans="1:17" ht="15.75" thickBot="1">
      <c r="A6" t="s">
        <v>864</v>
      </c>
      <c r="E6" t="s">
        <v>918</v>
      </c>
      <c r="J6" s="168"/>
      <c r="K6" s="168"/>
      <c r="L6" s="168"/>
      <c r="M6" s="168"/>
      <c r="N6" s="168"/>
      <c r="O6" s="168"/>
      <c r="P6" s="168"/>
      <c r="Q6" s="168"/>
    </row>
    <row r="7" spans="1:17" ht="15.75" thickBot="1">
      <c r="A7" s="105" t="s">
        <v>865</v>
      </c>
      <c r="J7" s="168"/>
      <c r="K7" s="168"/>
      <c r="L7" s="168"/>
      <c r="M7" s="168"/>
      <c r="N7" s="168"/>
      <c r="O7" s="168"/>
      <c r="P7" s="168"/>
      <c r="Q7" s="168"/>
    </row>
    <row r="8" spans="1:17">
      <c r="A8" s="117"/>
      <c r="J8" s="168"/>
      <c r="K8" s="168"/>
      <c r="L8" s="168"/>
      <c r="M8" s="168"/>
      <c r="N8" s="168"/>
      <c r="O8" s="168"/>
      <c r="P8" s="168"/>
      <c r="Q8" s="168"/>
    </row>
    <row r="9" spans="1:17">
      <c r="A9" t="s">
        <v>923</v>
      </c>
      <c r="B9" t="s">
        <v>924</v>
      </c>
      <c r="J9" s="168"/>
      <c r="K9" s="168"/>
      <c r="L9" s="168"/>
      <c r="M9" s="168"/>
      <c r="N9" s="168"/>
      <c r="O9" s="168"/>
      <c r="P9" s="168"/>
      <c r="Q9" s="168"/>
    </row>
    <row r="10" spans="1:17">
      <c r="A10" t="s">
        <v>919</v>
      </c>
      <c r="B10" t="s">
        <v>920</v>
      </c>
      <c r="E10" t="s">
        <v>925</v>
      </c>
      <c r="F10" t="s">
        <v>926</v>
      </c>
      <c r="G10" t="s">
        <v>927</v>
      </c>
      <c r="H10" t="s">
        <v>950</v>
      </c>
      <c r="J10" s="168"/>
      <c r="K10" s="168"/>
      <c r="L10" s="168"/>
      <c r="M10" s="168"/>
      <c r="N10" s="168"/>
      <c r="O10" s="168"/>
      <c r="P10" s="168"/>
      <c r="Q10" s="168"/>
    </row>
    <row r="11" spans="1:17">
      <c r="A11" t="s">
        <v>948</v>
      </c>
      <c r="B11" t="s">
        <v>921</v>
      </c>
      <c r="E11" t="s">
        <v>949</v>
      </c>
      <c r="F11" t="s">
        <v>928</v>
      </c>
      <c r="G11" t="s">
        <v>929</v>
      </c>
      <c r="H11" t="s">
        <v>951</v>
      </c>
      <c r="J11" s="168"/>
      <c r="K11" s="168"/>
      <c r="L11" s="168"/>
      <c r="M11" s="168"/>
      <c r="N11" s="168"/>
      <c r="O11" s="168"/>
      <c r="P11" s="168"/>
      <c r="Q11" s="168"/>
    </row>
    <row r="12" spans="1:17">
      <c r="B12" t="s">
        <v>922</v>
      </c>
      <c r="F12" t="s">
        <v>930</v>
      </c>
      <c r="G12" t="s">
        <v>931</v>
      </c>
      <c r="H12" t="s">
        <v>951</v>
      </c>
      <c r="J12" s="168"/>
      <c r="K12" s="168"/>
      <c r="L12" s="168"/>
      <c r="M12" s="168"/>
      <c r="N12" s="168"/>
      <c r="O12" s="168"/>
      <c r="P12" s="168"/>
      <c r="Q12" s="168"/>
    </row>
    <row r="13" spans="1:17">
      <c r="F13" t="s">
        <v>932</v>
      </c>
      <c r="G13" t="s">
        <v>933</v>
      </c>
      <c r="H13" t="s">
        <v>951</v>
      </c>
      <c r="J13" s="168"/>
      <c r="K13" s="168"/>
      <c r="L13" s="168"/>
      <c r="M13" s="168"/>
      <c r="N13" s="168"/>
      <c r="O13" s="168"/>
      <c r="P13" s="168"/>
      <c r="Q13" s="168"/>
    </row>
    <row r="14" spans="1:17">
      <c r="J14" s="168"/>
      <c r="K14" s="168"/>
      <c r="L14" s="168"/>
      <c r="M14" s="168"/>
      <c r="N14" s="168"/>
      <c r="O14" s="168"/>
      <c r="P14" s="168"/>
      <c r="Q14" s="168"/>
    </row>
    <row r="15" spans="1:17">
      <c r="A15" t="s">
        <v>934</v>
      </c>
      <c r="C15" t="s">
        <v>947</v>
      </c>
      <c r="J15" s="168"/>
      <c r="K15" s="168"/>
      <c r="L15" s="168"/>
      <c r="M15" s="168"/>
      <c r="N15" s="168"/>
      <c r="O15" s="168"/>
      <c r="P15" s="168"/>
      <c r="Q15" s="168"/>
    </row>
    <row r="16" spans="1:17">
      <c r="A16" t="s">
        <v>937</v>
      </c>
      <c r="J16" s="168"/>
      <c r="K16" s="168"/>
      <c r="L16" s="168"/>
      <c r="M16" s="168"/>
      <c r="N16" s="168"/>
      <c r="O16" s="168"/>
      <c r="P16" s="168"/>
      <c r="Q16" s="168"/>
    </row>
    <row r="17" spans="1:2">
      <c r="A17" s="5" t="s">
        <v>938</v>
      </c>
    </row>
    <row r="18" spans="1:2">
      <c r="A18" t="s">
        <v>939</v>
      </c>
    </row>
    <row r="19" spans="1:2">
      <c r="A19" t="s">
        <v>940</v>
      </c>
    </row>
    <row r="20" spans="1:2">
      <c r="A20" t="s">
        <v>941</v>
      </c>
    </row>
    <row r="21" spans="1:2">
      <c r="A21" t="s">
        <v>942</v>
      </c>
    </row>
    <row r="22" spans="1:2">
      <c r="A22" t="s">
        <v>943</v>
      </c>
    </row>
    <row r="23" spans="1:2">
      <c r="A23" s="5" t="s">
        <v>944</v>
      </c>
    </row>
    <row r="24" spans="1:2">
      <c r="A24" t="s">
        <v>935</v>
      </c>
    </row>
    <row r="25" spans="1:2">
      <c r="A25" t="s">
        <v>936</v>
      </c>
    </row>
    <row r="27" spans="1:2">
      <c r="A27" t="s">
        <v>946</v>
      </c>
    </row>
    <row r="28" spans="1:2">
      <c r="A28" t="s">
        <v>945</v>
      </c>
    </row>
    <row r="30" spans="1:2">
      <c r="A30" s="6" t="s">
        <v>1273</v>
      </c>
    </row>
    <row r="31" spans="1:2">
      <c r="A31" t="s">
        <v>1271</v>
      </c>
      <c r="B31" s="7" t="s">
        <v>1274</v>
      </c>
    </row>
    <row r="32" spans="1:2">
      <c r="A32" t="s">
        <v>1272</v>
      </c>
    </row>
  </sheetData>
  <mergeCells count="1">
    <mergeCell ref="J1:Q16"/>
  </mergeCells>
  <hyperlinks>
    <hyperlink ref="B31" r:id="rId1" xr:uid="{BC9895F5-A7B3-41BE-B56E-AC43709DD161}"/>
  </hyperlinks>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1286</v>
      </c>
    </row>
    <row r="3" spans="1:9">
      <c r="A3" t="s">
        <v>1287</v>
      </c>
      <c r="D3" t="s">
        <v>1288</v>
      </c>
    </row>
    <row r="5" spans="1:9">
      <c r="A5" t="s">
        <v>1289</v>
      </c>
      <c r="G5" t="s">
        <v>1290</v>
      </c>
      <c r="I5" t="s">
        <v>1291</v>
      </c>
    </row>
    <row r="6" spans="1:9">
      <c r="A6" s="7" t="s">
        <v>1292</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410</v>
      </c>
      <c r="M1" s="9" t="s">
        <v>313</v>
      </c>
      <c r="N1" s="13" t="s">
        <v>344</v>
      </c>
    </row>
    <row r="2" spans="1:17">
      <c r="B2" s="38" t="s">
        <v>468</v>
      </c>
      <c r="C2" s="36" t="s">
        <v>418</v>
      </c>
      <c r="D2" s="32" t="s">
        <v>417</v>
      </c>
      <c r="E2" s="32" t="s">
        <v>414</v>
      </c>
      <c r="F2" s="32" t="s">
        <v>413</v>
      </c>
      <c r="G2" s="32" t="s">
        <v>419</v>
      </c>
      <c r="H2" s="32" t="s">
        <v>412</v>
      </c>
      <c r="I2" s="32" t="s">
        <v>415</v>
      </c>
      <c r="M2" s="9" t="s">
        <v>314</v>
      </c>
      <c r="N2" s="13" t="s">
        <v>352</v>
      </c>
    </row>
    <row r="3" spans="1:17">
      <c r="B3" s="20" t="s">
        <v>429</v>
      </c>
      <c r="C3" s="37" t="s">
        <v>430</v>
      </c>
      <c r="D3" s="20" t="s">
        <v>469</v>
      </c>
      <c r="E3" s="20" t="s">
        <v>431</v>
      </c>
      <c r="F3" s="20" t="s">
        <v>432</v>
      </c>
      <c r="G3" s="20" t="s">
        <v>433</v>
      </c>
      <c r="H3" s="20" t="s">
        <v>434</v>
      </c>
      <c r="I3" s="20" t="s">
        <v>466</v>
      </c>
      <c r="M3" s="9" t="s">
        <v>345</v>
      </c>
      <c r="N3" s="9" t="s">
        <v>351</v>
      </c>
    </row>
    <row r="4" spans="1:17" ht="30">
      <c r="B4" s="35" t="s">
        <v>458</v>
      </c>
      <c r="D4" s="35" t="s">
        <v>452</v>
      </c>
      <c r="E4" s="35" t="s">
        <v>455</v>
      </c>
      <c r="F4" s="35" t="s">
        <v>462</v>
      </c>
      <c r="G4" s="35" t="s">
        <v>452</v>
      </c>
      <c r="H4" s="35" t="s">
        <v>452</v>
      </c>
      <c r="I4" s="35" t="s">
        <v>454</v>
      </c>
      <c r="M4" s="9" t="s">
        <v>346</v>
      </c>
      <c r="N4" s="9" t="s">
        <v>350</v>
      </c>
    </row>
    <row r="5" spans="1:17">
      <c r="A5" t="s">
        <v>446</v>
      </c>
      <c r="M5" s="9" t="s">
        <v>315</v>
      </c>
      <c r="N5" s="9" t="s">
        <v>349</v>
      </c>
    </row>
    <row r="6" spans="1:17">
      <c r="M6" s="9" t="s">
        <v>347</v>
      </c>
      <c r="N6" s="9" t="s">
        <v>348</v>
      </c>
    </row>
    <row r="7" spans="1:17">
      <c r="A7" s="33" t="s">
        <v>411</v>
      </c>
      <c r="D7" s="31"/>
      <c r="E7" s="31" t="s">
        <v>449</v>
      </c>
      <c r="F7" s="169" t="s">
        <v>441</v>
      </c>
      <c r="G7" s="169"/>
      <c r="H7" s="169"/>
      <c r="I7" s="169"/>
      <c r="J7" s="169"/>
      <c r="K7" s="169"/>
      <c r="L7" s="169"/>
      <c r="M7" s="169"/>
      <c r="N7" s="169"/>
      <c r="O7" s="169"/>
      <c r="P7" s="169"/>
    </row>
    <row r="8" spans="1:17">
      <c r="B8" s="32" t="s">
        <v>416</v>
      </c>
      <c r="C8" s="38" t="s">
        <v>435</v>
      </c>
      <c r="D8" s="32" t="s">
        <v>420</v>
      </c>
      <c r="E8" s="32" t="s">
        <v>465</v>
      </c>
      <c r="F8" s="32" t="s">
        <v>421</v>
      </c>
      <c r="G8" s="32" t="s">
        <v>422</v>
      </c>
      <c r="H8" s="32" t="s">
        <v>423</v>
      </c>
      <c r="I8" s="32" t="s">
        <v>424</v>
      </c>
      <c r="J8" s="32" t="s">
        <v>425</v>
      </c>
      <c r="K8" s="32" t="s">
        <v>426</v>
      </c>
      <c r="L8" s="32" t="s">
        <v>427</v>
      </c>
      <c r="M8" s="32" t="s">
        <v>428</v>
      </c>
      <c r="N8" s="32" t="s">
        <v>442</v>
      </c>
      <c r="O8" s="32" t="s">
        <v>443</v>
      </c>
      <c r="P8" s="32" t="s">
        <v>444</v>
      </c>
      <c r="Q8" s="32" t="s">
        <v>415</v>
      </c>
    </row>
    <row r="9" spans="1:17">
      <c r="B9" s="20" t="s">
        <v>429</v>
      </c>
      <c r="C9" s="20" t="s">
        <v>430</v>
      </c>
      <c r="D9" s="20" t="s">
        <v>436</v>
      </c>
      <c r="E9" s="20" t="s">
        <v>448</v>
      </c>
      <c r="F9" s="20" t="s">
        <v>437</v>
      </c>
      <c r="G9" s="20" t="s">
        <v>438</v>
      </c>
      <c r="H9" s="20" t="s">
        <v>439</v>
      </c>
      <c r="I9" s="20" t="s">
        <v>440</v>
      </c>
      <c r="J9" s="20" t="s">
        <v>425</v>
      </c>
      <c r="K9" s="20" t="s">
        <v>426</v>
      </c>
      <c r="L9" s="20" t="s">
        <v>427</v>
      </c>
      <c r="M9" s="20" t="s">
        <v>428</v>
      </c>
      <c r="N9" s="20" t="s">
        <v>445</v>
      </c>
      <c r="O9" s="20" t="s">
        <v>445</v>
      </c>
      <c r="P9" s="20" t="s">
        <v>445</v>
      </c>
      <c r="Q9" s="20" t="s">
        <v>466</v>
      </c>
    </row>
    <row r="10" spans="1:17" ht="45">
      <c r="A10" t="s">
        <v>446</v>
      </c>
      <c r="B10" s="35" t="s">
        <v>458</v>
      </c>
      <c r="D10" s="35" t="s">
        <v>452</v>
      </c>
      <c r="E10" s="35" t="s">
        <v>461</v>
      </c>
      <c r="F10" s="35" t="s">
        <v>452</v>
      </c>
      <c r="G10" s="35" t="s">
        <v>452</v>
      </c>
      <c r="H10" s="35" t="s">
        <v>452</v>
      </c>
      <c r="I10" s="35" t="s">
        <v>452</v>
      </c>
      <c r="J10" s="35" t="s">
        <v>452</v>
      </c>
      <c r="K10" s="35" t="s">
        <v>452</v>
      </c>
      <c r="L10" s="35" t="s">
        <v>452</v>
      </c>
      <c r="M10" s="35" t="s">
        <v>452</v>
      </c>
      <c r="N10" s="35" t="s">
        <v>452</v>
      </c>
      <c r="O10" s="35" t="s">
        <v>452</v>
      </c>
      <c r="P10" s="35" t="s">
        <v>452</v>
      </c>
      <c r="Q10" s="35" t="s">
        <v>454</v>
      </c>
    </row>
    <row r="11" spans="1:17" ht="60">
      <c r="F11" s="35" t="s">
        <v>467</v>
      </c>
      <c r="G11" s="35" t="s">
        <v>467</v>
      </c>
      <c r="H11" s="35" t="s">
        <v>467</v>
      </c>
      <c r="M11" s="35" t="s">
        <v>467</v>
      </c>
    </row>
    <row r="12" spans="1:17">
      <c r="A12" s="39" t="s">
        <v>447</v>
      </c>
    </row>
    <row r="13" spans="1:17">
      <c r="A13" s="34"/>
    </row>
    <row r="16" spans="1:17">
      <c r="A16" t="s">
        <v>450</v>
      </c>
      <c r="B16" s="7" t="s">
        <v>463</v>
      </c>
      <c r="H16" s="7" t="s">
        <v>917</v>
      </c>
    </row>
    <row r="17" spans="1:7">
      <c r="A17" s="35" t="s">
        <v>451</v>
      </c>
    </row>
    <row r="18" spans="1:7">
      <c r="A18" s="35" t="s">
        <v>458</v>
      </c>
    </row>
    <row r="19" spans="1:7">
      <c r="A19" s="35" t="s">
        <v>452</v>
      </c>
    </row>
    <row r="20" spans="1:7" ht="30">
      <c r="A20" s="35" t="s">
        <v>461</v>
      </c>
    </row>
    <row r="21" spans="1:7">
      <c r="A21" s="35" t="s">
        <v>453</v>
      </c>
    </row>
    <row r="22" spans="1:7" ht="30">
      <c r="A22" s="35" t="s">
        <v>454</v>
      </c>
    </row>
    <row r="23" spans="1:7">
      <c r="A23" s="35" t="s">
        <v>456</v>
      </c>
    </row>
    <row r="24" spans="1:7" ht="109.5" customHeight="1">
      <c r="A24" s="35" t="s">
        <v>455</v>
      </c>
      <c r="B24" s="170" t="s">
        <v>457</v>
      </c>
      <c r="C24" s="170"/>
      <c r="D24" s="170"/>
      <c r="E24" s="170"/>
      <c r="F24" s="170"/>
      <c r="G24" s="170"/>
    </row>
    <row r="25" spans="1:7" ht="30">
      <c r="A25" s="35" t="s">
        <v>462</v>
      </c>
      <c r="B25" s="171" t="s">
        <v>464</v>
      </c>
      <c r="C25" s="171"/>
      <c r="D25" s="171"/>
      <c r="E25" s="171"/>
      <c r="F25" s="171"/>
      <c r="G25" s="171"/>
    </row>
    <row r="26" spans="1:7" ht="159" customHeight="1">
      <c r="A26" s="35" t="s">
        <v>459</v>
      </c>
      <c r="B26" s="170" t="s">
        <v>460</v>
      </c>
      <c r="C26" s="170"/>
      <c r="D26" s="170"/>
      <c r="E26" s="170"/>
      <c r="F26" s="170"/>
      <c r="G26" s="170"/>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topLeftCell="A16"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2" t="s">
        <v>583</v>
      </c>
      <c r="F2" s="32" t="s">
        <v>412</v>
      </c>
      <c r="G2" s="32" t="s">
        <v>415</v>
      </c>
    </row>
    <row r="3" spans="1:14">
      <c r="B3" s="20" t="s">
        <v>429</v>
      </c>
      <c r="C3" s="20" t="s">
        <v>469</v>
      </c>
      <c r="D3" s="20" t="s">
        <v>571</v>
      </c>
      <c r="E3" s="20" t="s">
        <v>433</v>
      </c>
      <c r="F3" s="20" t="s">
        <v>434</v>
      </c>
      <c r="G3" s="20" t="s">
        <v>466</v>
      </c>
    </row>
    <row r="4" spans="1:14" ht="30">
      <c r="B4" s="62" t="s">
        <v>458</v>
      </c>
      <c r="C4" s="62" t="s">
        <v>452</v>
      </c>
      <c r="D4" s="62" t="s">
        <v>572</v>
      </c>
      <c r="E4" s="62" t="s">
        <v>452</v>
      </c>
      <c r="F4" s="62" t="s">
        <v>452</v>
      </c>
      <c r="G4" s="62" t="s">
        <v>454</v>
      </c>
    </row>
    <row r="5" spans="1:14">
      <c r="B5" s="20"/>
      <c r="C5" s="20">
        <v>50</v>
      </c>
      <c r="D5" s="20">
        <v>300</v>
      </c>
      <c r="E5" s="20">
        <v>100</v>
      </c>
      <c r="F5" s="20">
        <v>50</v>
      </c>
      <c r="G5" s="20"/>
    </row>
    <row r="6" spans="1:14">
      <c r="L6" s="9" t="s">
        <v>313</v>
      </c>
      <c r="M6" s="13" t="s">
        <v>344</v>
      </c>
    </row>
    <row r="7" spans="1:14">
      <c r="A7" s="33" t="s">
        <v>574</v>
      </c>
      <c r="L7" s="9" t="s">
        <v>314</v>
      </c>
      <c r="M7" s="13" t="s">
        <v>352</v>
      </c>
    </row>
    <row r="8" spans="1:14">
      <c r="B8" s="38" t="s">
        <v>596</v>
      </c>
      <c r="C8" s="60" t="s">
        <v>581</v>
      </c>
      <c r="D8" s="32" t="s">
        <v>582</v>
      </c>
      <c r="E8" s="32" t="s">
        <v>577</v>
      </c>
      <c r="F8" s="32" t="s">
        <v>576</v>
      </c>
      <c r="G8" s="32" t="s">
        <v>578</v>
      </c>
      <c r="L8" s="49" t="s">
        <v>601</v>
      </c>
      <c r="M8" s="49" t="s">
        <v>602</v>
      </c>
      <c r="N8" t="s">
        <v>604</v>
      </c>
    </row>
    <row r="9" spans="1:14">
      <c r="B9" s="20" t="s">
        <v>429</v>
      </c>
      <c r="C9" s="20" t="s">
        <v>584</v>
      </c>
      <c r="D9" s="20" t="s">
        <v>431</v>
      </c>
      <c r="E9" s="20" t="s">
        <v>432</v>
      </c>
      <c r="F9" s="20" t="s">
        <v>579</v>
      </c>
      <c r="G9" s="20" t="s">
        <v>466</v>
      </c>
      <c r="L9" s="9" t="s">
        <v>345</v>
      </c>
      <c r="M9" s="9" t="s">
        <v>603</v>
      </c>
    </row>
    <row r="10" spans="1:14" ht="30">
      <c r="B10" s="62" t="s">
        <v>458</v>
      </c>
      <c r="C10" s="62" t="s">
        <v>458</v>
      </c>
      <c r="D10" s="62" t="s">
        <v>452</v>
      </c>
      <c r="E10" s="62" t="s">
        <v>455</v>
      </c>
      <c r="F10" s="63" t="s">
        <v>461</v>
      </c>
      <c r="G10" s="62" t="s">
        <v>454</v>
      </c>
      <c r="L10" s="9" t="s">
        <v>346</v>
      </c>
      <c r="M10" s="9" t="s">
        <v>350</v>
      </c>
    </row>
    <row r="11" spans="1:14">
      <c r="B11" s="63"/>
      <c r="C11" s="63"/>
      <c r="D11" s="20">
        <v>100</v>
      </c>
      <c r="E11" s="63"/>
      <c r="F11" s="63"/>
      <c r="G11" s="63"/>
      <c r="H11" s="35"/>
      <c r="I11" s="35"/>
      <c r="L11" s="9" t="s">
        <v>315</v>
      </c>
      <c r="M11" s="9" t="s">
        <v>349</v>
      </c>
    </row>
    <row r="12" spans="1:14">
      <c r="L12" s="9" t="s">
        <v>347</v>
      </c>
      <c r="M12" s="9" t="s">
        <v>348</v>
      </c>
    </row>
    <row r="13" spans="1:14">
      <c r="A13" s="33" t="s">
        <v>575</v>
      </c>
      <c r="D13" s="31"/>
      <c r="E13" s="61" t="s">
        <v>441</v>
      </c>
      <c r="F13" s="52"/>
      <c r="G13" s="52"/>
      <c r="H13" s="66"/>
      <c r="I13" s="66"/>
      <c r="J13" s="66"/>
    </row>
    <row r="14" spans="1:14">
      <c r="B14" s="38" t="s">
        <v>580</v>
      </c>
      <c r="C14" s="60" t="s">
        <v>597</v>
      </c>
      <c r="D14" s="32" t="s">
        <v>585</v>
      </c>
      <c r="E14" s="32" t="s">
        <v>598</v>
      </c>
      <c r="F14" s="32" t="s">
        <v>599</v>
      </c>
      <c r="G14" s="32" t="s">
        <v>600</v>
      </c>
      <c r="H14" s="32" t="s">
        <v>421</v>
      </c>
      <c r="I14" s="32" t="s">
        <v>422</v>
      </c>
      <c r="J14" s="32" t="s">
        <v>423</v>
      </c>
    </row>
    <row r="15" spans="1:14">
      <c r="B15" s="20" t="s">
        <v>429</v>
      </c>
      <c r="C15" s="20" t="s">
        <v>584</v>
      </c>
      <c r="D15" s="20" t="s">
        <v>436</v>
      </c>
      <c r="E15" s="20" t="s">
        <v>437</v>
      </c>
      <c r="F15" s="20" t="s">
        <v>438</v>
      </c>
      <c r="G15" s="20" t="s">
        <v>439</v>
      </c>
      <c r="H15" s="20" t="s">
        <v>437</v>
      </c>
      <c r="I15" s="20" t="s">
        <v>438</v>
      </c>
      <c r="J15" s="20" t="s">
        <v>439</v>
      </c>
    </row>
    <row r="16" spans="1:14" ht="45">
      <c r="B16" s="62" t="s">
        <v>586</v>
      </c>
      <c r="C16" s="62" t="s">
        <v>586</v>
      </c>
      <c r="D16" s="62" t="s">
        <v>572</v>
      </c>
      <c r="E16" s="62" t="s">
        <v>588</v>
      </c>
      <c r="F16" s="62" t="s">
        <v>588</v>
      </c>
      <c r="G16" s="62" t="s">
        <v>589</v>
      </c>
      <c r="H16" s="62" t="s">
        <v>588</v>
      </c>
      <c r="I16" s="62" t="s">
        <v>588</v>
      </c>
      <c r="J16" s="62" t="s">
        <v>588</v>
      </c>
    </row>
    <row r="17" spans="1:14">
      <c r="B17" s="64"/>
      <c r="C17" s="64"/>
      <c r="D17" s="64">
        <v>1000</v>
      </c>
      <c r="E17" s="64"/>
      <c r="F17" s="65"/>
      <c r="G17" s="65"/>
      <c r="H17" s="64"/>
      <c r="I17" s="65"/>
      <c r="J17" s="65"/>
    </row>
    <row r="19" spans="1:14">
      <c r="B19" s="61" t="s">
        <v>441</v>
      </c>
      <c r="C19" s="52"/>
      <c r="D19" s="52"/>
      <c r="E19" s="52"/>
      <c r="F19" s="52"/>
      <c r="G19" s="52"/>
      <c r="H19" s="52"/>
      <c r="I19" s="52"/>
      <c r="J19" s="52"/>
      <c r="K19" s="52"/>
      <c r="L19" s="42"/>
      <c r="M19" s="42"/>
    </row>
    <row r="20" spans="1:14">
      <c r="B20" s="32" t="s">
        <v>614</v>
      </c>
      <c r="C20" s="32" t="s">
        <v>424</v>
      </c>
      <c r="D20" s="32" t="s">
        <v>425</v>
      </c>
      <c r="E20" s="32" t="s">
        <v>426</v>
      </c>
      <c r="F20" s="32" t="s">
        <v>427</v>
      </c>
      <c r="G20" s="32" t="s">
        <v>428</v>
      </c>
      <c r="H20" s="32" t="s">
        <v>442</v>
      </c>
      <c r="I20" s="32" t="s">
        <v>443</v>
      </c>
      <c r="J20" s="32" t="s">
        <v>444</v>
      </c>
      <c r="K20" s="32" t="s">
        <v>415</v>
      </c>
    </row>
    <row r="21" spans="1:14">
      <c r="B21" s="20" t="s">
        <v>619</v>
      </c>
      <c r="C21" s="20" t="s">
        <v>440</v>
      </c>
      <c r="D21" s="20" t="s">
        <v>615</v>
      </c>
      <c r="E21" s="20" t="s">
        <v>616</v>
      </c>
      <c r="F21" s="20" t="s">
        <v>617</v>
      </c>
      <c r="G21" s="20" t="s">
        <v>618</v>
      </c>
      <c r="H21" s="20" t="s">
        <v>445</v>
      </c>
      <c r="I21" s="20" t="s">
        <v>445</v>
      </c>
      <c r="J21" s="20" t="s">
        <v>445</v>
      </c>
      <c r="K21" s="20" t="s">
        <v>466</v>
      </c>
    </row>
    <row r="22" spans="1:14" ht="30">
      <c r="B22" s="62" t="s">
        <v>587</v>
      </c>
      <c r="C22" s="62" t="s">
        <v>587</v>
      </c>
      <c r="D22" s="62" t="s">
        <v>587</v>
      </c>
      <c r="E22" s="62" t="s">
        <v>587</v>
      </c>
      <c r="F22" s="62" t="s">
        <v>587</v>
      </c>
      <c r="G22" s="62" t="s">
        <v>590</v>
      </c>
      <c r="H22" s="62" t="s">
        <v>587</v>
      </c>
      <c r="I22" s="62" t="s">
        <v>591</v>
      </c>
      <c r="J22" s="62" t="s">
        <v>591</v>
      </c>
      <c r="K22" s="62" t="s">
        <v>592</v>
      </c>
    </row>
    <row r="23" spans="1:14">
      <c r="B23" s="64">
        <v>200</v>
      </c>
      <c r="C23" s="65">
        <v>40</v>
      </c>
      <c r="D23" s="64">
        <v>200</v>
      </c>
      <c r="E23" s="64">
        <v>200</v>
      </c>
      <c r="F23" s="65">
        <v>10</v>
      </c>
      <c r="G23" s="64"/>
      <c r="H23" s="65">
        <v>200</v>
      </c>
      <c r="I23" s="64">
        <v>200</v>
      </c>
      <c r="J23" s="65">
        <v>200</v>
      </c>
      <c r="K23" s="64"/>
    </row>
    <row r="25" spans="1:14">
      <c r="B25" s="7" t="s">
        <v>620</v>
      </c>
    </row>
    <row r="26" spans="1:14" ht="15.75" thickBot="1"/>
    <row r="27" spans="1:14" ht="15.75" thickBot="1">
      <c r="B27" s="80" t="s">
        <v>621</v>
      </c>
      <c r="C27" s="174" t="s">
        <v>622</v>
      </c>
      <c r="D27" s="175"/>
      <c r="E27" s="80" t="s">
        <v>621</v>
      </c>
      <c r="F27" s="174" t="s">
        <v>622</v>
      </c>
      <c r="G27" s="175"/>
      <c r="H27" s="80" t="s">
        <v>621</v>
      </c>
      <c r="I27" s="174" t="s">
        <v>622</v>
      </c>
      <c r="J27" s="175"/>
      <c r="L27" s="172" t="s">
        <v>694</v>
      </c>
      <c r="M27" s="172"/>
      <c r="N27" s="172"/>
    </row>
    <row r="28" spans="1:14" ht="32.25" thickBot="1">
      <c r="A28" s="81">
        <v>1</v>
      </c>
      <c r="B28" s="69" t="s">
        <v>623</v>
      </c>
      <c r="C28" s="182" t="s">
        <v>624</v>
      </c>
      <c r="D28" s="183"/>
      <c r="E28" s="70" t="s">
        <v>645</v>
      </c>
      <c r="F28" s="176" t="s">
        <v>646</v>
      </c>
      <c r="G28" s="177"/>
      <c r="H28" s="69" t="s">
        <v>667</v>
      </c>
      <c r="I28" s="182" t="s">
        <v>668</v>
      </c>
      <c r="J28" s="183"/>
      <c r="L28" s="173" t="s">
        <v>695</v>
      </c>
      <c r="M28" s="173"/>
      <c r="N28" s="173"/>
    </row>
    <row r="29" spans="1:14" ht="31.5" thickBot="1">
      <c r="A29" s="81">
        <v>2</v>
      </c>
      <c r="B29" s="70" t="s">
        <v>625</v>
      </c>
      <c r="C29" s="176" t="s">
        <v>626</v>
      </c>
      <c r="D29" s="177"/>
      <c r="E29" s="69" t="s">
        <v>647</v>
      </c>
      <c r="F29" s="182" t="s">
        <v>648</v>
      </c>
      <c r="G29" s="183"/>
      <c r="H29" s="70" t="s">
        <v>669</v>
      </c>
      <c r="I29" s="186" t="s">
        <v>670</v>
      </c>
      <c r="J29" s="187"/>
      <c r="L29" s="172" t="s">
        <v>696</v>
      </c>
      <c r="M29" s="172"/>
      <c r="N29" s="172"/>
    </row>
    <row r="30" spans="1:14" ht="15.75" thickBot="1">
      <c r="A30" s="81">
        <v>3</v>
      </c>
      <c r="B30" s="69" t="s">
        <v>627</v>
      </c>
      <c r="C30" s="182" t="s">
        <v>628</v>
      </c>
      <c r="D30" s="183"/>
      <c r="E30" s="70" t="s">
        <v>649</v>
      </c>
      <c r="F30" s="176" t="s">
        <v>650</v>
      </c>
      <c r="G30" s="177"/>
      <c r="H30" s="69" t="s">
        <v>671</v>
      </c>
      <c r="I30" s="182" t="s">
        <v>672</v>
      </c>
      <c r="J30" s="183"/>
      <c r="L30" s="173" t="s">
        <v>697</v>
      </c>
      <c r="M30" s="173"/>
      <c r="N30" s="173"/>
    </row>
    <row r="31" spans="1:14" ht="17.25" customHeight="1" thickBot="1">
      <c r="A31" s="81">
        <v>4</v>
      </c>
      <c r="B31" s="70" t="s">
        <v>629</v>
      </c>
      <c r="C31" s="176" t="s">
        <v>630</v>
      </c>
      <c r="D31" s="177"/>
      <c r="E31" s="69" t="s">
        <v>651</v>
      </c>
      <c r="F31" s="182" t="s">
        <v>652</v>
      </c>
      <c r="G31" s="183"/>
      <c r="H31" s="70" t="s">
        <v>673</v>
      </c>
      <c r="I31" s="176" t="s">
        <v>674</v>
      </c>
      <c r="J31" s="177"/>
      <c r="L31" s="172" t="s">
        <v>698</v>
      </c>
      <c r="M31" s="172"/>
      <c r="N31" s="172"/>
    </row>
    <row r="32" spans="1:14" ht="43.5" customHeight="1" thickBot="1">
      <c r="A32" s="81">
        <v>5</v>
      </c>
      <c r="B32" s="69" t="s">
        <v>631</v>
      </c>
      <c r="C32" s="182" t="s">
        <v>632</v>
      </c>
      <c r="D32" s="183"/>
      <c r="E32" s="70" t="s">
        <v>653</v>
      </c>
      <c r="F32" s="176" t="s">
        <v>654</v>
      </c>
      <c r="G32" s="177"/>
      <c r="H32" s="69" t="s">
        <v>675</v>
      </c>
      <c r="I32" s="182" t="s">
        <v>676</v>
      </c>
      <c r="J32" s="183"/>
      <c r="L32" s="173" t="s">
        <v>699</v>
      </c>
      <c r="M32" s="173"/>
      <c r="N32" s="173"/>
    </row>
    <row r="33" spans="1:14" ht="31.5" customHeight="1" thickBot="1">
      <c r="A33" s="81">
        <v>6</v>
      </c>
      <c r="B33" s="70" t="s">
        <v>633</v>
      </c>
      <c r="C33" s="176" t="s">
        <v>634</v>
      </c>
      <c r="D33" s="177"/>
      <c r="E33" s="69" t="s">
        <v>655</v>
      </c>
      <c r="F33" s="182" t="s">
        <v>656</v>
      </c>
      <c r="G33" s="183"/>
      <c r="H33" s="70" t="s">
        <v>677</v>
      </c>
      <c r="I33" s="184" t="s">
        <v>678</v>
      </c>
      <c r="J33" s="185"/>
      <c r="L33" s="172" t="s">
        <v>700</v>
      </c>
      <c r="M33" s="172"/>
      <c r="N33" s="172"/>
    </row>
    <row r="34" spans="1:14" ht="28.5" customHeight="1" thickBot="1">
      <c r="A34" s="81">
        <v>7</v>
      </c>
      <c r="B34" s="69" t="s">
        <v>635</v>
      </c>
      <c r="C34" s="182" t="s">
        <v>636</v>
      </c>
      <c r="D34" s="183"/>
      <c r="E34" s="70" t="s">
        <v>657</v>
      </c>
      <c r="F34" s="176" t="s">
        <v>658</v>
      </c>
      <c r="G34" s="177"/>
      <c r="H34" s="69" t="s">
        <v>679</v>
      </c>
      <c r="I34" s="180" t="s">
        <v>680</v>
      </c>
      <c r="J34" s="181"/>
      <c r="L34" s="173" t="s">
        <v>701</v>
      </c>
      <c r="M34" s="173"/>
      <c r="N34" s="173"/>
    </row>
    <row r="35" spans="1:14" ht="31.5" customHeight="1" thickBot="1">
      <c r="A35" s="81">
        <v>8</v>
      </c>
      <c r="B35" s="70" t="s">
        <v>637</v>
      </c>
      <c r="C35" s="176" t="s">
        <v>638</v>
      </c>
      <c r="D35" s="177"/>
      <c r="E35" s="69" t="s">
        <v>659</v>
      </c>
      <c r="F35" s="182" t="s">
        <v>660</v>
      </c>
      <c r="G35" s="183"/>
      <c r="H35" s="77" t="s">
        <v>681</v>
      </c>
      <c r="I35" s="176" t="s">
        <v>682</v>
      </c>
      <c r="J35" s="177"/>
      <c r="L35" s="172" t="s">
        <v>702</v>
      </c>
      <c r="M35" s="172"/>
      <c r="N35" s="172"/>
    </row>
    <row r="36" spans="1:14" ht="60.75" thickBot="1">
      <c r="A36" s="81">
        <v>9</v>
      </c>
      <c r="B36" s="69" t="s">
        <v>639</v>
      </c>
      <c r="C36" s="182" t="s">
        <v>640</v>
      </c>
      <c r="D36" s="183"/>
      <c r="E36" s="70" t="s">
        <v>661</v>
      </c>
      <c r="F36" s="176" t="s">
        <v>662</v>
      </c>
      <c r="G36" s="177"/>
      <c r="H36" s="78"/>
      <c r="I36" s="71" t="s">
        <v>683</v>
      </c>
      <c r="J36" s="72" t="s">
        <v>684</v>
      </c>
      <c r="L36" s="173" t="s">
        <v>703</v>
      </c>
      <c r="M36" s="173"/>
      <c r="N36" s="173"/>
    </row>
    <row r="37" spans="1:14" ht="75.75" thickBot="1">
      <c r="A37" s="81">
        <v>10</v>
      </c>
      <c r="B37" s="70" t="s">
        <v>641</v>
      </c>
      <c r="C37" s="176" t="s">
        <v>642</v>
      </c>
      <c r="D37" s="177"/>
      <c r="E37" s="69" t="s">
        <v>663</v>
      </c>
      <c r="F37" s="182" t="s">
        <v>664</v>
      </c>
      <c r="G37" s="183"/>
      <c r="H37" s="78"/>
      <c r="I37" s="73" t="s">
        <v>685</v>
      </c>
      <c r="J37" s="74" t="s">
        <v>686</v>
      </c>
    </row>
    <row r="38" spans="1:14" ht="60.75" thickBot="1">
      <c r="A38" s="81">
        <v>11</v>
      </c>
      <c r="B38" s="69" t="s">
        <v>643</v>
      </c>
      <c r="C38" s="182" t="s">
        <v>644</v>
      </c>
      <c r="D38" s="183"/>
      <c r="E38" s="70" t="s">
        <v>665</v>
      </c>
      <c r="F38" s="176" t="s">
        <v>666</v>
      </c>
      <c r="G38" s="177"/>
      <c r="H38" s="78"/>
      <c r="I38" s="75" t="s">
        <v>687</v>
      </c>
      <c r="J38" s="76" t="s">
        <v>688</v>
      </c>
    </row>
    <row r="39" spans="1:14" ht="64.5" customHeight="1" thickBot="1">
      <c r="A39" s="81">
        <v>12</v>
      </c>
      <c r="B39" s="70" t="s">
        <v>692</v>
      </c>
      <c r="C39" s="184" t="s">
        <v>693</v>
      </c>
      <c r="D39" s="185"/>
      <c r="E39" s="69" t="s">
        <v>690</v>
      </c>
      <c r="F39" s="180" t="s">
        <v>691</v>
      </c>
      <c r="G39" s="181"/>
      <c r="H39" s="79"/>
      <c r="I39" s="178" t="s">
        <v>689</v>
      </c>
      <c r="J39" s="179"/>
    </row>
    <row r="40" spans="1:14" ht="58.5" customHeight="1"/>
    <row r="42" spans="1:14" ht="31.5" customHeight="1"/>
    <row r="43" spans="1:14" ht="31.5" customHeight="1"/>
  </sheetData>
  <mergeCells count="46">
    <mergeCell ref="C38:D38"/>
    <mergeCell ref="C27:D27"/>
    <mergeCell ref="C28:D28"/>
    <mergeCell ref="C29:D29"/>
    <mergeCell ref="C30:D30"/>
    <mergeCell ref="C31:D31"/>
    <mergeCell ref="C32:D32"/>
    <mergeCell ref="C33:D33"/>
    <mergeCell ref="C34:D34"/>
    <mergeCell ref="C35:D35"/>
    <mergeCell ref="C36:D36"/>
    <mergeCell ref="C37:D37"/>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I27:J27"/>
    <mergeCell ref="F27:G27"/>
    <mergeCell ref="I35:J35"/>
    <mergeCell ref="I39:J39"/>
    <mergeCell ref="F39:G39"/>
    <mergeCell ref="I28:J28"/>
    <mergeCell ref="F28:G28"/>
    <mergeCell ref="F33:G33"/>
    <mergeCell ref="L31:N31"/>
    <mergeCell ref="L30:N30"/>
    <mergeCell ref="L29:N29"/>
    <mergeCell ref="L28:N28"/>
    <mergeCell ref="L27:N27"/>
    <mergeCell ref="L33:N33"/>
    <mergeCell ref="L34:N34"/>
    <mergeCell ref="L35:N35"/>
    <mergeCell ref="L36:N36"/>
    <mergeCell ref="L32:N32"/>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election activeCell="L24" sqref="L24"/>
    </sheetView>
  </sheetViews>
  <sheetFormatPr defaultRowHeight="15"/>
  <cols>
    <col min="1" max="1" width="10.5703125" bestFit="1" customWidth="1"/>
    <col min="2" max="2" width="23.42578125" customWidth="1"/>
    <col min="3" max="3" width="21.28515625" bestFit="1" customWidth="1"/>
    <col min="4" max="4" width="18.42578125" bestFit="1" customWidth="1"/>
    <col min="5" max="5" width="18.85546875" customWidth="1"/>
    <col min="6" max="6" width="15.5703125" customWidth="1"/>
    <col min="7" max="7" width="15" bestFit="1" customWidth="1"/>
    <col min="8" max="8" width="17.42578125" customWidth="1"/>
    <col min="9" max="9" width="13.7109375" customWidth="1"/>
    <col min="10" max="11" width="13.7109375" bestFit="1" customWidth="1"/>
    <col min="12" max="12" width="31.5703125" bestFit="1"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573</v>
      </c>
    </row>
    <row r="2" spans="1:14">
      <c r="B2" s="38" t="s">
        <v>568</v>
      </c>
      <c r="C2" s="32" t="s">
        <v>569</v>
      </c>
      <c r="D2" s="32" t="s">
        <v>570</v>
      </c>
      <c r="E2" s="36" t="s">
        <v>583</v>
      </c>
      <c r="F2" s="32" t="s">
        <v>916</v>
      </c>
      <c r="G2" s="32" t="s">
        <v>415</v>
      </c>
    </row>
    <row r="3" spans="1:14">
      <c r="B3" s="85" t="s">
        <v>429</v>
      </c>
      <c r="C3" s="85" t="s">
        <v>469</v>
      </c>
      <c r="D3" s="85" t="s">
        <v>820</v>
      </c>
      <c r="E3" s="107" t="s">
        <v>433</v>
      </c>
      <c r="F3" s="85" t="s">
        <v>434</v>
      </c>
      <c r="G3" s="85" t="s">
        <v>466</v>
      </c>
    </row>
    <row r="4" spans="1:14" ht="30">
      <c r="B4" s="62" t="s">
        <v>458</v>
      </c>
      <c r="C4" s="62" t="s">
        <v>452</v>
      </c>
      <c r="D4" s="62" t="s">
        <v>572</v>
      </c>
      <c r="E4" s="108" t="s">
        <v>452</v>
      </c>
      <c r="F4" s="62" t="s">
        <v>452</v>
      </c>
      <c r="G4" s="62" t="s">
        <v>454</v>
      </c>
    </row>
    <row r="5" spans="1:14">
      <c r="B5" s="85"/>
      <c r="C5" s="85">
        <v>50</v>
      </c>
      <c r="D5" s="85">
        <v>300</v>
      </c>
      <c r="E5" s="107">
        <v>100</v>
      </c>
      <c r="F5" s="85">
        <v>50</v>
      </c>
      <c r="G5" s="85"/>
      <c r="L5" s="9" t="s">
        <v>313</v>
      </c>
      <c r="M5" s="13" t="s">
        <v>344</v>
      </c>
    </row>
    <row r="6" spans="1:14">
      <c r="L6" s="9" t="s">
        <v>314</v>
      </c>
      <c r="M6" s="13" t="s">
        <v>352</v>
      </c>
    </row>
    <row r="7" spans="1:14">
      <c r="A7" s="33" t="s">
        <v>574</v>
      </c>
      <c r="F7" s="111" t="s">
        <v>915</v>
      </c>
      <c r="I7" s="188" t="s">
        <v>1166</v>
      </c>
      <c r="J7" s="188"/>
      <c r="L7" s="49" t="s">
        <v>601</v>
      </c>
      <c r="M7" s="49" t="s">
        <v>602</v>
      </c>
    </row>
    <row r="8" spans="1:14">
      <c r="B8" s="38" t="s">
        <v>596</v>
      </c>
      <c r="C8" s="60" t="s">
        <v>581</v>
      </c>
      <c r="D8" s="32" t="s">
        <v>582</v>
      </c>
      <c r="E8" s="130" t="s">
        <v>583</v>
      </c>
      <c r="F8" s="36" t="s">
        <v>577</v>
      </c>
      <c r="G8" s="32" t="s">
        <v>576</v>
      </c>
      <c r="H8" s="32" t="s">
        <v>415</v>
      </c>
      <c r="I8" s="32" t="s">
        <v>777</v>
      </c>
      <c r="J8" s="32" t="s">
        <v>754</v>
      </c>
      <c r="L8" s="9" t="s">
        <v>345</v>
      </c>
      <c r="M8" s="9" t="s">
        <v>603</v>
      </c>
      <c r="N8" t="s">
        <v>604</v>
      </c>
    </row>
    <row r="9" spans="1:14">
      <c r="B9" s="85" t="s">
        <v>429</v>
      </c>
      <c r="C9" s="85" t="s">
        <v>584</v>
      </c>
      <c r="D9" s="85" t="s">
        <v>431</v>
      </c>
      <c r="E9" s="64" t="s">
        <v>433</v>
      </c>
      <c r="F9" s="85" t="s">
        <v>432</v>
      </c>
      <c r="G9" s="85" t="s">
        <v>579</v>
      </c>
      <c r="H9" s="85" t="s">
        <v>466</v>
      </c>
      <c r="I9" s="116" t="s">
        <v>752</v>
      </c>
      <c r="J9" s="116" t="s">
        <v>755</v>
      </c>
      <c r="L9" s="9" t="s">
        <v>346</v>
      </c>
      <c r="M9" s="9" t="s">
        <v>350</v>
      </c>
    </row>
    <row r="10" spans="1:14" ht="30">
      <c r="B10" s="62" t="s">
        <v>458</v>
      </c>
      <c r="C10" s="62" t="s">
        <v>458</v>
      </c>
      <c r="D10" s="62" t="s">
        <v>452</v>
      </c>
      <c r="E10" s="62" t="s">
        <v>452</v>
      </c>
      <c r="F10" s="62" t="s">
        <v>455</v>
      </c>
      <c r="G10" s="63" t="s">
        <v>461</v>
      </c>
      <c r="H10" s="62" t="s">
        <v>454</v>
      </c>
      <c r="I10" s="62" t="s">
        <v>452</v>
      </c>
      <c r="J10" s="62" t="s">
        <v>452</v>
      </c>
      <c r="L10" s="9" t="s">
        <v>315</v>
      </c>
      <c r="M10" s="9" t="s">
        <v>349</v>
      </c>
    </row>
    <row r="11" spans="1:14">
      <c r="B11" s="63"/>
      <c r="C11" s="63"/>
      <c r="D11" s="85">
        <v>100</v>
      </c>
      <c r="E11" s="64">
        <v>100</v>
      </c>
      <c r="F11" s="63"/>
      <c r="G11" s="63"/>
      <c r="H11" s="63"/>
      <c r="I11" s="63"/>
      <c r="J11" s="63"/>
      <c r="L11" s="9" t="s">
        <v>347</v>
      </c>
      <c r="M11" s="9" t="s">
        <v>348</v>
      </c>
    </row>
    <row r="13" spans="1:14">
      <c r="A13" s="33" t="s">
        <v>575</v>
      </c>
      <c r="D13" s="31"/>
      <c r="E13" s="61" t="s">
        <v>441</v>
      </c>
      <c r="F13" s="83"/>
      <c r="G13" s="83"/>
      <c r="H13" s="83"/>
      <c r="I13" s="83"/>
      <c r="J13" s="83"/>
      <c r="K13" s="90"/>
      <c r="L13" s="90"/>
      <c r="M13" s="90"/>
    </row>
    <row r="14" spans="1:14">
      <c r="B14" s="38" t="s">
        <v>580</v>
      </c>
      <c r="C14" s="60" t="s">
        <v>597</v>
      </c>
      <c r="D14" s="32" t="s">
        <v>585</v>
      </c>
      <c r="E14" s="32" t="s">
        <v>598</v>
      </c>
      <c r="F14" s="32" t="s">
        <v>599</v>
      </c>
      <c r="G14" s="32" t="s">
        <v>600</v>
      </c>
      <c r="H14" s="32" t="s">
        <v>421</v>
      </c>
      <c r="I14" s="32" t="s">
        <v>422</v>
      </c>
      <c r="J14" s="32" t="s">
        <v>423</v>
      </c>
      <c r="K14" s="32" t="s">
        <v>838</v>
      </c>
      <c r="L14" s="32" t="s">
        <v>839</v>
      </c>
      <c r="M14" s="32" t="s">
        <v>845</v>
      </c>
    </row>
    <row r="15" spans="1:14">
      <c r="B15" s="85" t="s">
        <v>429</v>
      </c>
      <c r="C15" s="85" t="s">
        <v>584</v>
      </c>
      <c r="D15" s="85" t="s">
        <v>436</v>
      </c>
      <c r="E15" s="85" t="s">
        <v>802</v>
      </c>
      <c r="F15" s="85" t="s">
        <v>803</v>
      </c>
      <c r="G15" s="85" t="s">
        <v>804</v>
      </c>
      <c r="H15" s="85" t="s">
        <v>437</v>
      </c>
      <c r="I15" s="85" t="s">
        <v>438</v>
      </c>
      <c r="J15" s="85" t="s">
        <v>439</v>
      </c>
      <c r="K15" s="95" t="s">
        <v>846</v>
      </c>
      <c r="L15" s="95" t="s">
        <v>847</v>
      </c>
      <c r="M15" s="95" t="s">
        <v>848</v>
      </c>
    </row>
    <row r="16" spans="1:14" ht="30">
      <c r="B16" s="62" t="s">
        <v>586</v>
      </c>
      <c r="C16" s="62" t="s">
        <v>586</v>
      </c>
      <c r="D16" s="62" t="s">
        <v>572</v>
      </c>
      <c r="E16" s="96" t="s">
        <v>843</v>
      </c>
      <c r="F16" s="96" t="s">
        <v>844</v>
      </c>
      <c r="G16" s="96" t="s">
        <v>844</v>
      </c>
      <c r="H16" s="96" t="s">
        <v>844</v>
      </c>
      <c r="I16" s="96" t="s">
        <v>844</v>
      </c>
      <c r="J16" s="96" t="s">
        <v>844</v>
      </c>
      <c r="K16" s="96" t="s">
        <v>841</v>
      </c>
      <c r="L16" s="96" t="s">
        <v>842</v>
      </c>
      <c r="M16" s="96" t="s">
        <v>849</v>
      </c>
    </row>
    <row r="17" spans="1:14">
      <c r="B17" s="64"/>
      <c r="C17" s="64"/>
      <c r="D17" s="64">
        <v>1000</v>
      </c>
      <c r="E17" s="64"/>
      <c r="F17" s="65"/>
      <c r="G17" s="65"/>
      <c r="H17" s="64"/>
      <c r="I17" s="65"/>
      <c r="J17" s="65"/>
      <c r="K17" s="97" t="s">
        <v>818</v>
      </c>
      <c r="L17" s="97" t="s">
        <v>840</v>
      </c>
      <c r="M17" s="97" t="s">
        <v>850</v>
      </c>
    </row>
    <row r="19" spans="1:14">
      <c r="B19" s="61" t="s">
        <v>441</v>
      </c>
      <c r="C19" s="83"/>
      <c r="D19" s="83"/>
      <c r="E19" s="83"/>
      <c r="F19" s="83"/>
      <c r="G19" s="83"/>
      <c r="H19" s="83"/>
      <c r="I19" s="83"/>
      <c r="J19" s="83"/>
      <c r="K19" s="83"/>
      <c r="L19" s="42"/>
      <c r="M19" s="42"/>
    </row>
    <row r="20" spans="1:14">
      <c r="B20" s="32" t="s">
        <v>614</v>
      </c>
      <c r="C20" s="32" t="s">
        <v>424</v>
      </c>
      <c r="D20" s="32" t="s">
        <v>425</v>
      </c>
      <c r="E20" s="32" t="s">
        <v>426</v>
      </c>
      <c r="F20" s="32" t="s">
        <v>427</v>
      </c>
      <c r="G20" s="32" t="s">
        <v>428</v>
      </c>
      <c r="H20" s="32" t="s">
        <v>442</v>
      </c>
      <c r="I20" s="32" t="s">
        <v>443</v>
      </c>
      <c r="J20" s="32" t="s">
        <v>444</v>
      </c>
      <c r="K20" s="32" t="s">
        <v>415</v>
      </c>
      <c r="L20" s="210" t="s">
        <v>568</v>
      </c>
      <c r="M20" s="213"/>
      <c r="N20" s="214"/>
    </row>
    <row r="21" spans="1:14">
      <c r="B21" s="85" t="s">
        <v>619</v>
      </c>
      <c r="C21" s="85" t="s">
        <v>440</v>
      </c>
      <c r="D21" s="85" t="s">
        <v>615</v>
      </c>
      <c r="E21" s="85" t="s">
        <v>616</v>
      </c>
      <c r="F21" s="85" t="s">
        <v>617</v>
      </c>
      <c r="G21" s="85" t="s">
        <v>618</v>
      </c>
      <c r="H21" s="85" t="s">
        <v>445</v>
      </c>
      <c r="I21" s="85" t="s">
        <v>445</v>
      </c>
      <c r="J21" s="85" t="s">
        <v>445</v>
      </c>
      <c r="K21" s="85" t="s">
        <v>466</v>
      </c>
      <c r="L21" s="211" t="s">
        <v>429</v>
      </c>
    </row>
    <row r="22" spans="1:14" ht="30">
      <c r="B22" s="62" t="s">
        <v>587</v>
      </c>
      <c r="C22" s="62" t="s">
        <v>587</v>
      </c>
      <c r="D22" s="62" t="s">
        <v>587</v>
      </c>
      <c r="E22" s="62" t="s">
        <v>587</v>
      </c>
      <c r="F22" s="62" t="s">
        <v>587</v>
      </c>
      <c r="G22" s="62" t="s">
        <v>590</v>
      </c>
      <c r="H22" s="62" t="s">
        <v>587</v>
      </c>
      <c r="I22" s="62" t="s">
        <v>587</v>
      </c>
      <c r="J22" s="62" t="s">
        <v>587</v>
      </c>
      <c r="K22" s="62" t="s">
        <v>592</v>
      </c>
      <c r="L22" s="212" t="s">
        <v>458</v>
      </c>
    </row>
    <row r="23" spans="1:14">
      <c r="B23" s="64">
        <v>200</v>
      </c>
      <c r="C23" s="65">
        <v>40</v>
      </c>
      <c r="D23" s="64">
        <v>200</v>
      </c>
      <c r="E23" s="64">
        <v>200</v>
      </c>
      <c r="F23" s="65">
        <v>10</v>
      </c>
      <c r="G23" s="64"/>
      <c r="H23" s="65">
        <v>200</v>
      </c>
      <c r="I23" s="64">
        <v>200</v>
      </c>
      <c r="J23" s="65">
        <v>200</v>
      </c>
      <c r="K23" s="64"/>
      <c r="L23" s="211" t="s">
        <v>1293</v>
      </c>
    </row>
    <row r="25" spans="1:14">
      <c r="B25" s="7" t="s">
        <v>620</v>
      </c>
      <c r="F25" s="7" t="s">
        <v>917</v>
      </c>
    </row>
    <row r="26" spans="1:14" ht="15.75" thickBot="1">
      <c r="F26" s="7" t="s">
        <v>1165</v>
      </c>
    </row>
    <row r="27" spans="1:14" ht="15.75" thickBot="1">
      <c r="B27" s="80" t="s">
        <v>621</v>
      </c>
      <c r="C27" s="174" t="s">
        <v>622</v>
      </c>
      <c r="D27" s="175"/>
      <c r="E27" s="80" t="s">
        <v>621</v>
      </c>
      <c r="F27" s="174" t="s">
        <v>622</v>
      </c>
      <c r="G27" s="175"/>
      <c r="H27" s="80" t="s">
        <v>621</v>
      </c>
      <c r="I27" s="174" t="s">
        <v>622</v>
      </c>
      <c r="J27" s="175"/>
      <c r="L27" s="172" t="s">
        <v>694</v>
      </c>
      <c r="M27" s="172"/>
      <c r="N27" s="172"/>
    </row>
    <row r="28" spans="1:14" ht="49.5" customHeight="1" thickBot="1">
      <c r="A28" s="81">
        <v>1</v>
      </c>
      <c r="B28" s="69" t="s">
        <v>623</v>
      </c>
      <c r="C28" s="182" t="s">
        <v>624</v>
      </c>
      <c r="D28" s="183"/>
      <c r="E28" s="70" t="s">
        <v>645</v>
      </c>
      <c r="F28" s="176" t="s">
        <v>1178</v>
      </c>
      <c r="G28" s="177"/>
      <c r="H28" s="69" t="s">
        <v>667</v>
      </c>
      <c r="I28" s="182" t="s">
        <v>668</v>
      </c>
      <c r="J28" s="183"/>
      <c r="L28" s="173" t="s">
        <v>695</v>
      </c>
      <c r="M28" s="173"/>
      <c r="N28" s="173"/>
    </row>
    <row r="29" spans="1:14" ht="31.5" thickBot="1">
      <c r="A29" s="81">
        <v>2</v>
      </c>
      <c r="B29" s="70" t="s">
        <v>625</v>
      </c>
      <c r="C29" s="176" t="s">
        <v>626</v>
      </c>
      <c r="D29" s="177"/>
      <c r="E29" s="69" t="s">
        <v>647</v>
      </c>
      <c r="F29" s="182" t="s">
        <v>648</v>
      </c>
      <c r="G29" s="183"/>
      <c r="H29" s="70" t="s">
        <v>669</v>
      </c>
      <c r="I29" s="186" t="s">
        <v>670</v>
      </c>
      <c r="J29" s="187"/>
      <c r="L29" s="172" t="s">
        <v>696</v>
      </c>
      <c r="M29" s="172"/>
      <c r="N29" s="172"/>
    </row>
    <row r="30" spans="1:14" ht="15.75" thickBot="1">
      <c r="A30" s="81">
        <v>3</v>
      </c>
      <c r="B30" s="69" t="s">
        <v>627</v>
      </c>
      <c r="C30" s="182" t="s">
        <v>628</v>
      </c>
      <c r="D30" s="183"/>
      <c r="E30" s="70" t="s">
        <v>649</v>
      </c>
      <c r="F30" s="176" t="s">
        <v>650</v>
      </c>
      <c r="G30" s="177"/>
      <c r="H30" s="69" t="s">
        <v>671</v>
      </c>
      <c r="I30" s="182" t="s">
        <v>672</v>
      </c>
      <c r="J30" s="183"/>
      <c r="L30" s="173" t="s">
        <v>697</v>
      </c>
      <c r="M30" s="173"/>
      <c r="N30" s="173"/>
    </row>
    <row r="31" spans="1:14" ht="17.25" customHeight="1" thickBot="1">
      <c r="A31" s="81">
        <v>4</v>
      </c>
      <c r="B31" s="70" t="s">
        <v>629</v>
      </c>
      <c r="C31" s="176" t="s">
        <v>630</v>
      </c>
      <c r="D31" s="177"/>
      <c r="E31" s="69" t="s">
        <v>651</v>
      </c>
      <c r="F31" s="182" t="s">
        <v>652</v>
      </c>
      <c r="G31" s="183"/>
      <c r="H31" s="70" t="s">
        <v>673</v>
      </c>
      <c r="I31" s="176" t="s">
        <v>674</v>
      </c>
      <c r="J31" s="177"/>
      <c r="L31" s="172" t="s">
        <v>698</v>
      </c>
      <c r="M31" s="172"/>
      <c r="N31" s="172"/>
    </row>
    <row r="32" spans="1:14" ht="43.5" customHeight="1" thickBot="1">
      <c r="A32" s="81">
        <v>5</v>
      </c>
      <c r="B32" s="69" t="s">
        <v>631</v>
      </c>
      <c r="C32" s="182" t="s">
        <v>632</v>
      </c>
      <c r="D32" s="183"/>
      <c r="E32" s="70" t="s">
        <v>653</v>
      </c>
      <c r="F32" s="176" t="s">
        <v>654</v>
      </c>
      <c r="G32" s="177"/>
      <c r="H32" s="69" t="s">
        <v>675</v>
      </c>
      <c r="I32" s="182" t="s">
        <v>676</v>
      </c>
      <c r="J32" s="183"/>
      <c r="L32" s="173" t="s">
        <v>699</v>
      </c>
      <c r="M32" s="173"/>
      <c r="N32" s="173"/>
    </row>
    <row r="33" spans="1:14" ht="31.5" customHeight="1" thickBot="1">
      <c r="A33" s="81">
        <v>6</v>
      </c>
      <c r="B33" s="70" t="s">
        <v>633</v>
      </c>
      <c r="C33" s="176" t="s">
        <v>634</v>
      </c>
      <c r="D33" s="177"/>
      <c r="E33" s="69" t="s">
        <v>655</v>
      </c>
      <c r="F33" s="182" t="s">
        <v>656</v>
      </c>
      <c r="G33" s="183"/>
      <c r="H33" s="70" t="s">
        <v>677</v>
      </c>
      <c r="I33" s="184" t="s">
        <v>678</v>
      </c>
      <c r="J33" s="185"/>
      <c r="L33" s="172" t="s">
        <v>700</v>
      </c>
      <c r="M33" s="172"/>
      <c r="N33" s="172"/>
    </row>
    <row r="34" spans="1:14" ht="28.5" customHeight="1" thickBot="1">
      <c r="A34" s="81">
        <v>7</v>
      </c>
      <c r="B34" s="69" t="s">
        <v>635</v>
      </c>
      <c r="C34" s="182" t="s">
        <v>636</v>
      </c>
      <c r="D34" s="183"/>
      <c r="E34" s="70" t="s">
        <v>657</v>
      </c>
      <c r="F34" s="176" t="s">
        <v>658</v>
      </c>
      <c r="G34" s="177"/>
      <c r="H34" s="69" t="s">
        <v>679</v>
      </c>
      <c r="I34" s="180" t="s">
        <v>680</v>
      </c>
      <c r="J34" s="181"/>
      <c r="L34" s="173" t="s">
        <v>701</v>
      </c>
      <c r="M34" s="173"/>
      <c r="N34" s="173"/>
    </row>
    <row r="35" spans="1:14" ht="31.5" customHeight="1" thickBot="1">
      <c r="A35" s="81">
        <v>8</v>
      </c>
      <c r="B35" s="70" t="s">
        <v>637</v>
      </c>
      <c r="C35" s="176" t="s">
        <v>638</v>
      </c>
      <c r="D35" s="177"/>
      <c r="E35" s="69" t="s">
        <v>659</v>
      </c>
      <c r="F35" s="182" t="s">
        <v>660</v>
      </c>
      <c r="G35" s="183"/>
      <c r="H35" s="77" t="s">
        <v>681</v>
      </c>
      <c r="I35" s="176" t="s">
        <v>682</v>
      </c>
      <c r="J35" s="177"/>
      <c r="L35" s="172" t="s">
        <v>702</v>
      </c>
      <c r="M35" s="172"/>
      <c r="N35" s="172"/>
    </row>
    <row r="36" spans="1:14" ht="60.75" thickBot="1">
      <c r="A36" s="81">
        <v>9</v>
      </c>
      <c r="B36" s="69" t="s">
        <v>639</v>
      </c>
      <c r="C36" s="182" t="s">
        <v>640</v>
      </c>
      <c r="D36" s="183"/>
      <c r="E36" s="70" t="s">
        <v>661</v>
      </c>
      <c r="F36" s="176" t="s">
        <v>662</v>
      </c>
      <c r="G36" s="177"/>
      <c r="H36" s="78"/>
      <c r="I36" s="71" t="s">
        <v>683</v>
      </c>
      <c r="J36" s="72" t="s">
        <v>684</v>
      </c>
      <c r="L36" s="173" t="s">
        <v>703</v>
      </c>
      <c r="M36" s="173"/>
      <c r="N36" s="173"/>
    </row>
    <row r="37" spans="1:14" ht="75.75" thickBot="1">
      <c r="A37" s="81">
        <v>10</v>
      </c>
      <c r="B37" s="70" t="s">
        <v>641</v>
      </c>
      <c r="C37" s="176" t="s">
        <v>642</v>
      </c>
      <c r="D37" s="177"/>
      <c r="E37" s="69" t="s">
        <v>663</v>
      </c>
      <c r="F37" s="182" t="s">
        <v>664</v>
      </c>
      <c r="G37" s="183"/>
      <c r="H37" s="78"/>
      <c r="I37" s="73" t="s">
        <v>685</v>
      </c>
      <c r="J37" s="74" t="s">
        <v>686</v>
      </c>
    </row>
    <row r="38" spans="1:14" ht="60.75" thickBot="1">
      <c r="A38" s="81">
        <v>11</v>
      </c>
      <c r="B38" s="69" t="s">
        <v>643</v>
      </c>
      <c r="C38" s="182" t="s">
        <v>644</v>
      </c>
      <c r="D38" s="183"/>
      <c r="E38" s="70" t="s">
        <v>665</v>
      </c>
      <c r="F38" s="176" t="s">
        <v>666</v>
      </c>
      <c r="G38" s="177"/>
      <c r="H38" s="78"/>
      <c r="I38" s="75" t="s">
        <v>687</v>
      </c>
      <c r="J38" s="76" t="s">
        <v>688</v>
      </c>
    </row>
    <row r="39" spans="1:14" ht="64.5" customHeight="1" thickBot="1">
      <c r="A39" s="81">
        <v>12</v>
      </c>
      <c r="B39" s="70" t="s">
        <v>692</v>
      </c>
      <c r="C39" s="184" t="s">
        <v>693</v>
      </c>
      <c r="D39" s="185"/>
      <c r="E39" s="69" t="s">
        <v>690</v>
      </c>
      <c r="F39" s="180" t="s">
        <v>691</v>
      </c>
      <c r="G39" s="181"/>
      <c r="H39" s="79"/>
      <c r="I39" s="178" t="s">
        <v>689</v>
      </c>
      <c r="J39" s="179"/>
    </row>
    <row r="40" spans="1:14" ht="58.5" customHeight="1"/>
    <row r="41" spans="1:14">
      <c r="A41" s="33" t="s">
        <v>774</v>
      </c>
      <c r="D41" t="s">
        <v>760</v>
      </c>
    </row>
    <row r="42" spans="1:14">
      <c r="B42" s="38" t="s">
        <v>766</v>
      </c>
      <c r="C42" s="60" t="s">
        <v>777</v>
      </c>
      <c r="D42" s="32" t="s">
        <v>754</v>
      </c>
      <c r="E42" s="32" t="s">
        <v>767</v>
      </c>
      <c r="F42" s="32" t="s">
        <v>756</v>
      </c>
      <c r="G42" s="32" t="s">
        <v>415</v>
      </c>
      <c r="L42" s="84" t="s">
        <v>0</v>
      </c>
      <c r="M42" s="84" t="s">
        <v>307</v>
      </c>
      <c r="N42" s="84" t="s">
        <v>263</v>
      </c>
    </row>
    <row r="43" spans="1:14">
      <c r="B43" s="85" t="s">
        <v>429</v>
      </c>
      <c r="C43" s="85" t="s">
        <v>752</v>
      </c>
      <c r="D43" s="85" t="s">
        <v>755</v>
      </c>
      <c r="E43" s="85" t="s">
        <v>753</v>
      </c>
      <c r="F43" s="85" t="s">
        <v>757</v>
      </c>
      <c r="G43" s="85" t="s">
        <v>466</v>
      </c>
      <c r="L43" s="19" t="s">
        <v>1</v>
      </c>
      <c r="M43" s="85">
        <v>1</v>
      </c>
      <c r="N43" s="19" t="s">
        <v>272</v>
      </c>
    </row>
    <row r="44" spans="1:14" ht="30">
      <c r="B44" s="62" t="s">
        <v>458</v>
      </c>
      <c r="C44" s="62" t="s">
        <v>452</v>
      </c>
      <c r="D44" s="62" t="s">
        <v>452</v>
      </c>
      <c r="E44" s="62" t="s">
        <v>452</v>
      </c>
      <c r="F44" s="62" t="s">
        <v>452</v>
      </c>
      <c r="G44" s="62" t="s">
        <v>454</v>
      </c>
      <c r="L44" s="19" t="s">
        <v>2</v>
      </c>
      <c r="M44" s="85">
        <v>1</v>
      </c>
      <c r="N44" s="19" t="s">
        <v>264</v>
      </c>
    </row>
    <row r="45" spans="1:14">
      <c r="B45" s="63"/>
      <c r="C45" s="63"/>
      <c r="D45" s="85"/>
      <c r="E45" s="63"/>
      <c r="F45" s="85"/>
      <c r="G45" s="63"/>
      <c r="L45" s="19" t="s">
        <v>6</v>
      </c>
      <c r="M45" s="85">
        <v>1</v>
      </c>
      <c r="N45" s="21" t="s">
        <v>268</v>
      </c>
    </row>
    <row r="46" spans="1:14" ht="45">
      <c r="C46" t="s">
        <v>765</v>
      </c>
      <c r="D46" t="s">
        <v>782</v>
      </c>
      <c r="E46" t="s">
        <v>759</v>
      </c>
      <c r="L46" s="18" t="s">
        <v>271</v>
      </c>
      <c r="M46" s="86">
        <v>1</v>
      </c>
      <c r="N46" s="23" t="s">
        <v>265</v>
      </c>
    </row>
    <row r="47" spans="1:14">
      <c r="A47" s="33" t="s">
        <v>775</v>
      </c>
      <c r="L47" s="19" t="s">
        <v>266</v>
      </c>
      <c r="M47" s="85">
        <v>2</v>
      </c>
      <c r="N47" s="21" t="s">
        <v>267</v>
      </c>
    </row>
    <row r="48" spans="1:14">
      <c r="B48" s="38" t="s">
        <v>776</v>
      </c>
      <c r="C48" s="60" t="s">
        <v>778</v>
      </c>
      <c r="D48" s="87" t="s">
        <v>761</v>
      </c>
      <c r="E48" s="32" t="s">
        <v>763</v>
      </c>
      <c r="F48" s="32" t="s">
        <v>415</v>
      </c>
      <c r="L48" s="19" t="s">
        <v>269</v>
      </c>
      <c r="M48" s="85">
        <v>2</v>
      </c>
      <c r="N48" s="24" t="s">
        <v>270</v>
      </c>
    </row>
    <row r="49" spans="2:14">
      <c r="B49" s="85" t="s">
        <v>429</v>
      </c>
      <c r="C49" s="116" t="s">
        <v>752</v>
      </c>
      <c r="D49" s="85" t="s">
        <v>762</v>
      </c>
      <c r="E49" s="85" t="s">
        <v>764</v>
      </c>
      <c r="F49" s="85" t="s">
        <v>466</v>
      </c>
      <c r="L49" s="19" t="s">
        <v>3</v>
      </c>
      <c r="M49" s="85">
        <v>2</v>
      </c>
      <c r="N49" s="19"/>
    </row>
    <row r="50" spans="2:14" ht="30">
      <c r="B50" s="62" t="s">
        <v>458</v>
      </c>
      <c r="C50" s="62" t="s">
        <v>452</v>
      </c>
      <c r="D50" s="62" t="s">
        <v>452</v>
      </c>
      <c r="E50" s="62" t="s">
        <v>452</v>
      </c>
      <c r="F50" s="62" t="s">
        <v>454</v>
      </c>
      <c r="L50" s="19" t="s">
        <v>4</v>
      </c>
      <c r="M50" s="85">
        <v>2</v>
      </c>
      <c r="N50" s="19"/>
    </row>
    <row r="51" spans="2:14">
      <c r="B51" s="63"/>
      <c r="C51" s="63"/>
      <c r="D51" s="63"/>
      <c r="E51" s="85"/>
      <c r="F51" s="63"/>
    </row>
    <row r="52" spans="2:14">
      <c r="C52" t="s">
        <v>768</v>
      </c>
      <c r="D52" t="s">
        <v>780</v>
      </c>
      <c r="E52" t="s">
        <v>640</v>
      </c>
      <c r="F52" t="s">
        <v>779</v>
      </c>
      <c r="G52" s="89" t="s">
        <v>783</v>
      </c>
      <c r="H52" s="89" t="s">
        <v>758</v>
      </c>
      <c r="I52" s="89" t="s">
        <v>784</v>
      </c>
      <c r="J52" s="89" t="s">
        <v>785</v>
      </c>
    </row>
    <row r="53" spans="2:14">
      <c r="D53" t="s">
        <v>781</v>
      </c>
      <c r="E53" t="s">
        <v>642</v>
      </c>
      <c r="F53" t="s">
        <v>641</v>
      </c>
    </row>
    <row r="54" spans="2:14">
      <c r="C54" t="s">
        <v>769</v>
      </c>
    </row>
    <row r="55" spans="2:14">
      <c r="C55" t="s">
        <v>770</v>
      </c>
    </row>
    <row r="56" spans="2:14">
      <c r="C56" t="s">
        <v>771</v>
      </c>
    </row>
    <row r="57" spans="2:14">
      <c r="C57" t="s">
        <v>772</v>
      </c>
    </row>
    <row r="58" spans="2:14">
      <c r="C58" s="88" t="s">
        <v>773</v>
      </c>
    </row>
  </sheetData>
  <mergeCells count="48">
    <mergeCell ref="C36:D36"/>
    <mergeCell ref="F36:G36"/>
    <mergeCell ref="L36:N36"/>
    <mergeCell ref="I39:J39"/>
    <mergeCell ref="C37:D37"/>
    <mergeCell ref="F37:G37"/>
    <mergeCell ref="C38:D38"/>
    <mergeCell ref="F38:G38"/>
    <mergeCell ref="C39:D39"/>
    <mergeCell ref="F39:G39"/>
    <mergeCell ref="C34:D34"/>
    <mergeCell ref="F34:G34"/>
    <mergeCell ref="I34:J34"/>
    <mergeCell ref="L34:N34"/>
    <mergeCell ref="C35:D35"/>
    <mergeCell ref="F35:G35"/>
    <mergeCell ref="I35:J35"/>
    <mergeCell ref="L35:N35"/>
    <mergeCell ref="C32:D32"/>
    <mergeCell ref="F32:G32"/>
    <mergeCell ref="I32:J32"/>
    <mergeCell ref="L32:N32"/>
    <mergeCell ref="C33:D33"/>
    <mergeCell ref="F33:G33"/>
    <mergeCell ref="I33:J33"/>
    <mergeCell ref="L33:N33"/>
    <mergeCell ref="C30:D30"/>
    <mergeCell ref="F30:G30"/>
    <mergeCell ref="I30:J30"/>
    <mergeCell ref="L30:N30"/>
    <mergeCell ref="C31:D31"/>
    <mergeCell ref="F31:G31"/>
    <mergeCell ref="I31:J31"/>
    <mergeCell ref="L31:N31"/>
    <mergeCell ref="C28:D28"/>
    <mergeCell ref="F28:G28"/>
    <mergeCell ref="I28:J28"/>
    <mergeCell ref="L28:N28"/>
    <mergeCell ref="C29:D29"/>
    <mergeCell ref="F29:G29"/>
    <mergeCell ref="I29:J29"/>
    <mergeCell ref="L29:N29"/>
    <mergeCell ref="I7:J7"/>
    <mergeCell ref="M20:N20"/>
    <mergeCell ref="C27:D27"/>
    <mergeCell ref="F27:G27"/>
    <mergeCell ref="I27:J27"/>
    <mergeCell ref="L27:N27"/>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492</v>
      </c>
      <c r="B1" s="40" t="s">
        <v>470</v>
      </c>
      <c r="C1" s="40" t="s">
        <v>473</v>
      </c>
      <c r="D1" s="40" t="s">
        <v>479</v>
      </c>
      <c r="E1" s="40" t="s">
        <v>476</v>
      </c>
      <c r="F1" s="40" t="s">
        <v>475</v>
      </c>
      <c r="G1" s="40" t="s">
        <v>478</v>
      </c>
    </row>
    <row r="2" spans="1:7">
      <c r="A2" s="20" t="s">
        <v>493</v>
      </c>
      <c r="B2" s="20" t="s">
        <v>471</v>
      </c>
      <c r="C2" s="19" t="s">
        <v>474</v>
      </c>
      <c r="D2" s="19" t="s">
        <v>503</v>
      </c>
      <c r="E2" s="41" t="s">
        <v>542</v>
      </c>
      <c r="F2" s="20" t="s">
        <v>502</v>
      </c>
      <c r="G2" s="20"/>
    </row>
    <row r="3" spans="1:7">
      <c r="A3" s="20" t="s">
        <v>494</v>
      </c>
      <c r="B3" s="20" t="s">
        <v>471</v>
      </c>
      <c r="C3" s="19" t="s">
        <v>477</v>
      </c>
      <c r="D3" s="19" t="s">
        <v>706</v>
      </c>
      <c r="E3" s="20" t="s">
        <v>606</v>
      </c>
      <c r="F3" s="20" t="s">
        <v>502</v>
      </c>
      <c r="G3" s="20"/>
    </row>
    <row r="4" spans="1:7">
      <c r="A4" s="20" t="s">
        <v>607</v>
      </c>
      <c r="B4" s="20" t="s">
        <v>471</v>
      </c>
      <c r="C4" s="19" t="s">
        <v>609</v>
      </c>
      <c r="D4" s="19" t="s">
        <v>608</v>
      </c>
      <c r="E4" s="20" t="s">
        <v>610</v>
      </c>
      <c r="F4" s="20" t="s">
        <v>704</v>
      </c>
      <c r="G4" s="20" t="s">
        <v>705</v>
      </c>
    </row>
    <row r="5" spans="1:7">
      <c r="A5" s="20" t="s">
        <v>495</v>
      </c>
      <c r="B5" s="20" t="s">
        <v>471</v>
      </c>
      <c r="C5" s="19" t="s">
        <v>480</v>
      </c>
      <c r="D5" s="19" t="s">
        <v>481</v>
      </c>
      <c r="E5" s="20" t="s">
        <v>605</v>
      </c>
      <c r="F5" s="20" t="s">
        <v>502</v>
      </c>
      <c r="G5" s="20"/>
    </row>
    <row r="6" spans="1:7">
      <c r="A6" s="20" t="s">
        <v>713</v>
      </c>
      <c r="B6" s="20" t="s">
        <v>471</v>
      </c>
      <c r="C6" s="19" t="s">
        <v>714</v>
      </c>
      <c r="D6" s="19" t="s">
        <v>716</v>
      </c>
      <c r="E6" s="20" t="s">
        <v>715</v>
      </c>
      <c r="F6" s="85" t="s">
        <v>502</v>
      </c>
      <c r="G6" s="20"/>
    </row>
    <row r="7" spans="1:7">
      <c r="A7" s="82" t="s">
        <v>750</v>
      </c>
      <c r="B7" s="82" t="s">
        <v>471</v>
      </c>
      <c r="C7" s="19" t="s">
        <v>749</v>
      </c>
      <c r="D7" s="19" t="s">
        <v>751</v>
      </c>
      <c r="E7" s="82" t="s">
        <v>719</v>
      </c>
      <c r="F7" s="92" t="s">
        <v>502</v>
      </c>
      <c r="G7" s="82"/>
    </row>
    <row r="8" spans="1:7">
      <c r="A8" s="20" t="s">
        <v>496</v>
      </c>
      <c r="B8" s="20" t="s">
        <v>472</v>
      </c>
      <c r="C8" s="19" t="s">
        <v>482</v>
      </c>
      <c r="D8" s="19" t="s">
        <v>484</v>
      </c>
      <c r="E8" s="20" t="s">
        <v>594</v>
      </c>
      <c r="F8" s="20" t="s">
        <v>593</v>
      </c>
      <c r="G8" s="20" t="s">
        <v>595</v>
      </c>
    </row>
    <row r="9" spans="1:7">
      <c r="A9" s="20" t="s">
        <v>712</v>
      </c>
      <c r="B9" s="20" t="s">
        <v>472</v>
      </c>
      <c r="C9" s="19" t="s">
        <v>717</v>
      </c>
      <c r="D9" s="19" t="s">
        <v>718</v>
      </c>
      <c r="E9" s="20" t="s">
        <v>719</v>
      </c>
      <c r="F9" s="85" t="s">
        <v>502</v>
      </c>
      <c r="G9" s="20"/>
    </row>
    <row r="10" spans="1:7">
      <c r="A10" s="20" t="s">
        <v>497</v>
      </c>
      <c r="B10" s="20" t="s">
        <v>472</v>
      </c>
      <c r="C10" s="19" t="s">
        <v>490</v>
      </c>
      <c r="D10" s="19" t="s">
        <v>487</v>
      </c>
      <c r="E10" s="20" t="s">
        <v>866</v>
      </c>
      <c r="F10" s="92" t="s">
        <v>502</v>
      </c>
      <c r="G10" s="20" t="s">
        <v>707</v>
      </c>
    </row>
    <row r="11" spans="1:7">
      <c r="A11" s="20" t="s">
        <v>498</v>
      </c>
      <c r="B11" s="20" t="s">
        <v>472</v>
      </c>
      <c r="C11" s="19" t="s">
        <v>490</v>
      </c>
      <c r="D11" s="19" t="s">
        <v>488</v>
      </c>
      <c r="E11" s="92" t="s">
        <v>866</v>
      </c>
      <c r="F11" s="92" t="s">
        <v>502</v>
      </c>
      <c r="G11" s="20" t="s">
        <v>707</v>
      </c>
    </row>
    <row r="12" spans="1:7">
      <c r="A12" s="20" t="s">
        <v>499</v>
      </c>
      <c r="B12" s="20" t="s">
        <v>472</v>
      </c>
      <c r="C12" s="19" t="s">
        <v>490</v>
      </c>
      <c r="D12" s="19" t="s">
        <v>489</v>
      </c>
      <c r="E12" s="92" t="s">
        <v>866</v>
      </c>
      <c r="F12" s="92" t="s">
        <v>502</v>
      </c>
      <c r="G12" s="20" t="s">
        <v>707</v>
      </c>
    </row>
    <row r="13" spans="1:7">
      <c r="A13" s="20" t="s">
        <v>500</v>
      </c>
      <c r="B13" s="20" t="s">
        <v>472</v>
      </c>
      <c r="C13" s="19" t="s">
        <v>483</v>
      </c>
      <c r="D13" s="19" t="s">
        <v>485</v>
      </c>
      <c r="E13" s="92" t="s">
        <v>867</v>
      </c>
      <c r="F13" s="92" t="s">
        <v>502</v>
      </c>
      <c r="G13" s="20" t="s">
        <v>707</v>
      </c>
    </row>
    <row r="14" spans="1:7">
      <c r="A14" s="20" t="s">
        <v>501</v>
      </c>
      <c r="B14" s="20" t="s">
        <v>472</v>
      </c>
      <c r="C14" s="19" t="s">
        <v>491</v>
      </c>
      <c r="D14" s="19" t="s">
        <v>486</v>
      </c>
      <c r="E14" s="92" t="s">
        <v>867</v>
      </c>
      <c r="F14" s="92" t="s">
        <v>502</v>
      </c>
      <c r="G14" s="20" t="s">
        <v>707</v>
      </c>
    </row>
    <row r="15" spans="1:7">
      <c r="A15" s="20" t="s">
        <v>708</v>
      </c>
      <c r="B15" s="20" t="s">
        <v>709</v>
      </c>
      <c r="C15" s="19" t="s">
        <v>710</v>
      </c>
      <c r="D15" s="19" t="s">
        <v>711</v>
      </c>
      <c r="E15" s="92" t="s">
        <v>866</v>
      </c>
      <c r="F15" s="92" t="s">
        <v>502</v>
      </c>
      <c r="G15" s="20"/>
    </row>
    <row r="17" spans="1:5">
      <c r="A17" s="42" t="s">
        <v>519</v>
      </c>
    </row>
    <row r="18" spans="1:5">
      <c r="A18" s="47" t="s">
        <v>520</v>
      </c>
      <c r="B18" s="47" t="s">
        <v>521</v>
      </c>
      <c r="C18" s="19"/>
      <c r="D18" s="19"/>
      <c r="E18" s="19"/>
    </row>
    <row r="19" spans="1:5">
      <c r="A19" s="19"/>
      <c r="B19" s="47" t="s">
        <v>523</v>
      </c>
      <c r="C19" s="19" t="s">
        <v>525</v>
      </c>
      <c r="D19" s="19"/>
      <c r="E19" s="19"/>
    </row>
    <row r="20" spans="1:5">
      <c r="A20" s="19"/>
      <c r="B20" s="19"/>
      <c r="C20" s="67" t="s">
        <v>524</v>
      </c>
      <c r="D20" s="19" t="s">
        <v>611</v>
      </c>
      <c r="E20" s="19"/>
    </row>
    <row r="21" spans="1:5">
      <c r="A21" s="19"/>
      <c r="B21" s="19"/>
      <c r="C21" s="19"/>
      <c r="D21" s="19" t="s">
        <v>612</v>
      </c>
      <c r="E21" s="19" t="s">
        <v>527</v>
      </c>
    </row>
    <row r="22" spans="1:5">
      <c r="A22" s="19"/>
      <c r="B22" s="19"/>
      <c r="C22" s="19"/>
      <c r="D22" s="19"/>
      <c r="E22" s="19" t="s">
        <v>528</v>
      </c>
    </row>
    <row r="23" spans="1:5">
      <c r="A23" s="19"/>
      <c r="B23" s="19"/>
      <c r="C23" s="19"/>
      <c r="D23" s="19" t="s">
        <v>613</v>
      </c>
      <c r="E23" s="19" t="s">
        <v>529</v>
      </c>
    </row>
    <row r="24" spans="1:5">
      <c r="A24" s="19"/>
      <c r="B24" s="19"/>
      <c r="C24" s="19"/>
      <c r="D24" s="19"/>
      <c r="E24" s="19" t="s">
        <v>530</v>
      </c>
    </row>
    <row r="25" spans="1:5">
      <c r="A25" s="19"/>
      <c r="B25" s="19"/>
      <c r="C25" s="19"/>
      <c r="D25" s="19"/>
      <c r="E25" s="19" t="s">
        <v>531</v>
      </c>
    </row>
    <row r="26" spans="1:5">
      <c r="A26" s="19"/>
      <c r="B26" s="47" t="s">
        <v>522</v>
      </c>
      <c r="C26" s="19" t="s">
        <v>534</v>
      </c>
      <c r="D26" s="19"/>
      <c r="E26" s="19"/>
    </row>
    <row r="27" spans="1:5">
      <c r="A27" s="19"/>
      <c r="B27" s="19"/>
      <c r="C27" s="19" t="s">
        <v>532</v>
      </c>
      <c r="D27" s="19"/>
      <c r="E27" s="19"/>
    </row>
    <row r="28" spans="1:5">
      <c r="A28" s="19"/>
      <c r="B28" s="19"/>
      <c r="C28" s="19" t="s">
        <v>526</v>
      </c>
      <c r="D28" s="19"/>
      <c r="E28" s="19"/>
    </row>
    <row r="29" spans="1:5">
      <c r="A29" s="19"/>
      <c r="B29" s="19"/>
      <c r="C29" s="19" t="s">
        <v>533</v>
      </c>
      <c r="D29" s="19"/>
      <c r="E29" s="19"/>
    </row>
  </sheetData>
  <phoneticPr fontId="1" type="noConversion"/>
  <pageMargins left="0.7" right="0.7" top="0.75" bottom="0.75" header="0.3" footer="0.3"/>
  <pageSetup paperSize="9" orientation="portrait"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G21" sqref="G21"/>
    </sheetView>
  </sheetViews>
  <sheetFormatPr defaultRowHeight="15"/>
  <sheetData>
    <row r="1" spans="1:1">
      <c r="A1" t="s">
        <v>404</v>
      </c>
    </row>
  </sheetData>
  <phoneticPr fontId="1" type="noConversion"/>
  <pageMargins left="0.7" right="0.7" top="0.75" bottom="0.75" header="0.3" footer="0.3"/>
  <pageSetup paperSize="9" orientation="portrait" verticalDpi="0"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zoomScaleNormal="100" workbookViewId="0">
      <selection activeCell="M4" sqref="M4"/>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560</v>
      </c>
      <c r="K1" s="26" t="s">
        <v>953</v>
      </c>
      <c r="M1" s="26" t="s">
        <v>407</v>
      </c>
    </row>
    <row r="2" spans="1:17" ht="16.5" customHeight="1">
      <c r="A2" s="189" t="s">
        <v>504</v>
      </c>
      <c r="B2" s="198" t="s">
        <v>506</v>
      </c>
      <c r="C2" s="189" t="s">
        <v>508</v>
      </c>
      <c r="D2" s="189" t="s">
        <v>556</v>
      </c>
      <c r="E2" s="8"/>
      <c r="F2" s="9" t="s">
        <v>309</v>
      </c>
      <c r="G2" s="9" t="s">
        <v>343</v>
      </c>
      <c r="H2" s="10">
        <v>1</v>
      </c>
      <c r="I2" s="209">
        <v>44043</v>
      </c>
      <c r="J2" s="10"/>
      <c r="K2" s="10"/>
      <c r="M2" s="19" t="s">
        <v>406</v>
      </c>
    </row>
    <row r="3" spans="1:17">
      <c r="A3" s="164"/>
      <c r="B3" s="199"/>
      <c r="C3" s="190"/>
      <c r="D3" s="190"/>
      <c r="E3" s="11"/>
      <c r="F3" s="9" t="s">
        <v>310</v>
      </c>
      <c r="G3" s="9" t="s">
        <v>359</v>
      </c>
      <c r="H3" s="12">
        <v>2</v>
      </c>
      <c r="I3" s="209">
        <v>44074</v>
      </c>
      <c r="J3" s="10"/>
      <c r="K3" s="10"/>
      <c r="M3" s="19" t="s">
        <v>547</v>
      </c>
    </row>
    <row r="4" spans="1:17">
      <c r="A4" s="164"/>
      <c r="B4" s="199"/>
      <c r="C4" s="190"/>
      <c r="D4" s="191"/>
      <c r="E4" s="11"/>
      <c r="F4" s="9" t="s">
        <v>311</v>
      </c>
      <c r="G4" s="9" t="s">
        <v>358</v>
      </c>
      <c r="H4" s="12" t="s">
        <v>963</v>
      </c>
      <c r="I4" s="209"/>
      <c r="J4" s="10"/>
      <c r="K4" s="10"/>
      <c r="M4" s="218" t="s">
        <v>1299</v>
      </c>
    </row>
    <row r="5" spans="1:17">
      <c r="A5" s="164"/>
      <c r="B5" s="199"/>
      <c r="C5" s="191"/>
      <c r="D5" s="46" t="s">
        <v>555</v>
      </c>
      <c r="E5" s="11"/>
      <c r="F5" s="9" t="s">
        <v>558</v>
      </c>
      <c r="G5" s="9" t="s">
        <v>557</v>
      </c>
      <c r="H5" s="12" t="s">
        <v>960</v>
      </c>
      <c r="I5" s="209">
        <v>44043</v>
      </c>
      <c r="J5" s="10" t="s">
        <v>561</v>
      </c>
      <c r="K5" s="10"/>
    </row>
    <row r="6" spans="1:17">
      <c r="A6" s="164"/>
      <c r="B6" s="199"/>
      <c r="C6" s="189" t="s">
        <v>507</v>
      </c>
      <c r="D6" s="189" t="s">
        <v>511</v>
      </c>
      <c r="E6" s="11"/>
      <c r="F6" s="9" t="s">
        <v>312</v>
      </c>
      <c r="G6" s="13" t="s">
        <v>317</v>
      </c>
      <c r="H6" s="12" t="s">
        <v>961</v>
      </c>
      <c r="I6" s="209">
        <v>44043</v>
      </c>
      <c r="J6" s="10"/>
      <c r="K6" s="10"/>
    </row>
    <row r="7" spans="1:17">
      <c r="A7" s="164"/>
      <c r="B7" s="199"/>
      <c r="C7" s="190"/>
      <c r="D7" s="190"/>
      <c r="E7" s="11"/>
      <c r="F7" s="9" t="s">
        <v>313</v>
      </c>
      <c r="G7" s="13" t="s">
        <v>344</v>
      </c>
      <c r="H7" s="12">
        <v>1</v>
      </c>
      <c r="I7" s="209">
        <v>44043</v>
      </c>
      <c r="J7" s="10"/>
      <c r="K7" s="10"/>
    </row>
    <row r="8" spans="1:17">
      <c r="A8" s="164"/>
      <c r="B8" s="199"/>
      <c r="C8" s="190"/>
      <c r="D8" s="190"/>
      <c r="E8" s="11"/>
      <c r="F8" s="9" t="s">
        <v>314</v>
      </c>
      <c r="G8" s="13" t="s">
        <v>352</v>
      </c>
      <c r="H8" s="12">
        <v>1</v>
      </c>
      <c r="I8" s="209">
        <v>44043</v>
      </c>
      <c r="J8" s="10"/>
      <c r="K8" s="10"/>
    </row>
    <row r="9" spans="1:17">
      <c r="A9" s="164"/>
      <c r="B9" s="199"/>
      <c r="C9" s="190"/>
      <c r="D9" s="190"/>
      <c r="E9" s="8"/>
      <c r="F9" s="9" t="s">
        <v>345</v>
      </c>
      <c r="G9" s="9" t="s">
        <v>351</v>
      </c>
      <c r="H9" s="10">
        <v>1</v>
      </c>
      <c r="I9" s="209">
        <v>44043</v>
      </c>
      <c r="J9" s="10"/>
      <c r="K9" s="10"/>
    </row>
    <row r="10" spans="1:17">
      <c r="A10" s="164"/>
      <c r="B10" s="199"/>
      <c r="C10" s="190"/>
      <c r="D10" s="190"/>
      <c r="E10" s="8"/>
      <c r="F10" s="9" t="s">
        <v>346</v>
      </c>
      <c r="G10" s="9" t="s">
        <v>350</v>
      </c>
      <c r="H10" s="10">
        <v>1</v>
      </c>
      <c r="I10" s="209">
        <v>44043</v>
      </c>
      <c r="J10" s="10"/>
      <c r="K10" s="10"/>
    </row>
    <row r="11" spans="1:17">
      <c r="A11" s="164"/>
      <c r="B11" s="199"/>
      <c r="C11" s="190"/>
      <c r="D11" s="190"/>
      <c r="E11" s="8"/>
      <c r="F11" s="9" t="s">
        <v>315</v>
      </c>
      <c r="G11" s="9" t="s">
        <v>349</v>
      </c>
      <c r="H11" s="10">
        <v>1</v>
      </c>
      <c r="I11" s="209">
        <v>44043</v>
      </c>
      <c r="J11" s="10"/>
      <c r="K11" s="10"/>
    </row>
    <row r="12" spans="1:17" ht="16.5" customHeight="1">
      <c r="A12" s="164"/>
      <c r="B12" s="199"/>
      <c r="C12" s="190"/>
      <c r="D12" s="190"/>
      <c r="E12" s="8"/>
      <c r="F12" s="9" t="s">
        <v>347</v>
      </c>
      <c r="G12" s="9" t="s">
        <v>348</v>
      </c>
      <c r="H12" s="10">
        <v>1</v>
      </c>
      <c r="I12" s="209">
        <v>44043</v>
      </c>
      <c r="J12" s="10"/>
      <c r="K12" s="10"/>
    </row>
    <row r="13" spans="1:17" ht="30">
      <c r="A13" s="164"/>
      <c r="B13" s="199"/>
      <c r="C13" s="190"/>
      <c r="D13" s="190"/>
      <c r="E13" s="11"/>
      <c r="F13" s="9" t="s">
        <v>316</v>
      </c>
      <c r="G13" s="9" t="s">
        <v>353</v>
      </c>
      <c r="H13" s="12">
        <v>3</v>
      </c>
      <c r="I13" s="209"/>
      <c r="J13" s="10" t="s">
        <v>563</v>
      </c>
      <c r="K13" s="10"/>
      <c r="O13" s="101" t="s">
        <v>858</v>
      </c>
    </row>
    <row r="14" spans="1:17">
      <c r="A14" s="164"/>
      <c r="B14" s="199"/>
      <c r="C14" s="190"/>
      <c r="D14" s="191"/>
      <c r="E14" s="11"/>
      <c r="F14" s="9" t="s">
        <v>318</v>
      </c>
      <c r="G14" s="9" t="s">
        <v>354</v>
      </c>
      <c r="H14" s="12" t="s">
        <v>963</v>
      </c>
      <c r="I14" s="209" t="s">
        <v>1298</v>
      </c>
      <c r="J14" s="10"/>
      <c r="K14" s="10"/>
    </row>
    <row r="15" spans="1:17" ht="30">
      <c r="A15" s="164"/>
      <c r="B15" s="199"/>
      <c r="C15" s="190"/>
      <c r="D15" s="22" t="s">
        <v>512</v>
      </c>
      <c r="E15" s="11"/>
      <c r="F15" s="9" t="s">
        <v>342</v>
      </c>
      <c r="G15" s="9" t="s">
        <v>341</v>
      </c>
      <c r="H15" s="12">
        <v>1</v>
      </c>
      <c r="I15" s="209">
        <v>44043</v>
      </c>
      <c r="J15" s="10"/>
      <c r="K15" s="10"/>
      <c r="M15" s="194" t="s">
        <v>851</v>
      </c>
      <c r="N15" s="195"/>
      <c r="O15" s="114" t="s">
        <v>1258</v>
      </c>
      <c r="P15" s="91"/>
      <c r="Q15" s="91" t="s">
        <v>964</v>
      </c>
    </row>
    <row r="16" spans="1:17" ht="30">
      <c r="A16" s="164"/>
      <c r="B16" s="199"/>
      <c r="C16" s="189" t="s">
        <v>509</v>
      </c>
      <c r="D16" s="189" t="s">
        <v>513</v>
      </c>
      <c r="E16" s="11"/>
      <c r="F16" s="9" t="s">
        <v>363</v>
      </c>
      <c r="G16" s="13" t="s">
        <v>360</v>
      </c>
      <c r="H16" s="12">
        <v>1</v>
      </c>
      <c r="I16" s="209">
        <v>44043</v>
      </c>
      <c r="J16" s="10"/>
      <c r="K16" s="10"/>
      <c r="M16" s="99" t="s">
        <v>363</v>
      </c>
      <c r="N16" s="98" t="s">
        <v>360</v>
      </c>
      <c r="O16" s="99" t="s">
        <v>1259</v>
      </c>
      <c r="P16" s="102">
        <v>1</v>
      </c>
      <c r="Q16" s="91" t="s">
        <v>853</v>
      </c>
    </row>
    <row r="17" spans="1:17">
      <c r="A17" s="164"/>
      <c r="B17" s="199"/>
      <c r="C17" s="190"/>
      <c r="D17" s="190"/>
      <c r="E17" s="19"/>
      <c r="F17" s="9" t="s">
        <v>364</v>
      </c>
      <c r="G17" s="13" t="s">
        <v>361</v>
      </c>
      <c r="H17" s="12">
        <v>1</v>
      </c>
      <c r="I17" s="209">
        <v>44043</v>
      </c>
      <c r="J17" s="10"/>
      <c r="K17" s="10"/>
      <c r="M17" s="99" t="s">
        <v>332</v>
      </c>
      <c r="N17" s="98" t="s">
        <v>365</v>
      </c>
      <c r="O17" s="99" t="s">
        <v>1263</v>
      </c>
      <c r="P17" s="103">
        <v>1</v>
      </c>
    </row>
    <row r="18" spans="1:17">
      <c r="A18" s="164"/>
      <c r="B18" s="199"/>
      <c r="C18" s="190"/>
      <c r="D18" s="190"/>
      <c r="E18" s="19"/>
      <c r="F18" s="48" t="s">
        <v>559</v>
      </c>
      <c r="G18" s="13" t="s">
        <v>966</v>
      </c>
      <c r="H18" s="10">
        <v>1</v>
      </c>
      <c r="I18" s="209">
        <v>44043</v>
      </c>
      <c r="J18" s="10" t="s">
        <v>562</v>
      </c>
      <c r="K18" s="10"/>
      <c r="M18" s="99" t="s">
        <v>333</v>
      </c>
      <c r="N18" s="98" t="s">
        <v>366</v>
      </c>
      <c r="O18" s="99" t="s">
        <v>1263</v>
      </c>
      <c r="P18" s="103">
        <v>1</v>
      </c>
    </row>
    <row r="19" spans="1:17">
      <c r="A19" s="164"/>
      <c r="B19" s="199"/>
      <c r="C19" s="190"/>
      <c r="D19" s="190"/>
      <c r="E19" s="8"/>
      <c r="F19" s="9" t="s">
        <v>332</v>
      </c>
      <c r="G19" s="13" t="s">
        <v>365</v>
      </c>
      <c r="H19" s="10">
        <v>1</v>
      </c>
      <c r="I19" s="209">
        <v>44043</v>
      </c>
      <c r="J19" s="10"/>
      <c r="K19" s="10"/>
      <c r="M19" s="99" t="s">
        <v>335</v>
      </c>
      <c r="N19" s="98" t="s">
        <v>368</v>
      </c>
      <c r="O19" s="99" t="s">
        <v>1263</v>
      </c>
      <c r="P19" s="104">
        <v>1</v>
      </c>
      <c r="Q19" s="91"/>
    </row>
    <row r="20" spans="1:17">
      <c r="A20" s="164"/>
      <c r="B20" s="199"/>
      <c r="C20" s="190"/>
      <c r="D20" s="190"/>
      <c r="E20" s="8"/>
      <c r="F20" s="9" t="s">
        <v>333</v>
      </c>
      <c r="G20" s="13" t="s">
        <v>366</v>
      </c>
      <c r="H20" s="10">
        <v>1</v>
      </c>
      <c r="I20" s="209">
        <v>44043</v>
      </c>
      <c r="J20" s="10"/>
      <c r="K20" s="10"/>
      <c r="M20" s="99" t="s">
        <v>336</v>
      </c>
      <c r="N20" s="98" t="s">
        <v>1283</v>
      </c>
      <c r="O20" s="99" t="s">
        <v>1263</v>
      </c>
      <c r="P20" s="103">
        <v>2</v>
      </c>
      <c r="Q20" s="91"/>
    </row>
    <row r="21" spans="1:17" ht="16.5" customHeight="1">
      <c r="A21" s="164"/>
      <c r="B21" s="199"/>
      <c r="C21" s="190"/>
      <c r="D21" s="190"/>
      <c r="E21" s="14"/>
      <c r="F21" s="9" t="s">
        <v>334</v>
      </c>
      <c r="G21" s="13" t="s">
        <v>367</v>
      </c>
      <c r="H21" s="16">
        <v>3</v>
      </c>
      <c r="I21" s="209"/>
      <c r="J21" s="10" t="s">
        <v>563</v>
      </c>
      <c r="K21" s="10"/>
      <c r="M21" s="99" t="s">
        <v>856</v>
      </c>
      <c r="N21" s="98" t="s">
        <v>361</v>
      </c>
      <c r="O21" s="99" t="s">
        <v>1269</v>
      </c>
      <c r="P21" s="102">
        <v>1</v>
      </c>
      <c r="Q21" s="91" t="s">
        <v>854</v>
      </c>
    </row>
    <row r="22" spans="1:17">
      <c r="A22" s="164"/>
      <c r="B22" s="199"/>
      <c r="C22" s="190"/>
      <c r="D22" s="190"/>
      <c r="E22" s="14"/>
      <c r="F22" s="9" t="s">
        <v>335</v>
      </c>
      <c r="G22" s="13" t="s">
        <v>368</v>
      </c>
      <c r="H22" s="16">
        <v>1</v>
      </c>
      <c r="I22" s="209">
        <v>44043</v>
      </c>
      <c r="J22" s="10"/>
      <c r="K22" s="10"/>
      <c r="M22" s="100" t="s">
        <v>855</v>
      </c>
      <c r="N22" s="98" t="s">
        <v>362</v>
      </c>
      <c r="O22" s="99" t="s">
        <v>81</v>
      </c>
      <c r="P22" s="103">
        <v>1</v>
      </c>
      <c r="Q22" s="91" t="s">
        <v>857</v>
      </c>
    </row>
    <row r="23" spans="1:17">
      <c r="A23" s="164"/>
      <c r="B23" s="199"/>
      <c r="C23" s="190"/>
      <c r="D23" s="190"/>
      <c r="E23" s="14"/>
      <c r="F23" s="9" t="s">
        <v>336</v>
      </c>
      <c r="G23" s="13" t="s">
        <v>369</v>
      </c>
      <c r="H23" s="16">
        <v>2</v>
      </c>
      <c r="I23" s="209">
        <v>44074</v>
      </c>
      <c r="J23" s="10"/>
      <c r="K23" s="10"/>
      <c r="M23" s="99" t="s">
        <v>339</v>
      </c>
      <c r="N23" s="98" t="s">
        <v>372</v>
      </c>
      <c r="O23" s="99" t="s">
        <v>81</v>
      </c>
      <c r="P23" s="215" t="s">
        <v>962</v>
      </c>
      <c r="Q23" s="153" t="s">
        <v>1284</v>
      </c>
    </row>
    <row r="24" spans="1:17">
      <c r="A24" s="164"/>
      <c r="B24" s="199"/>
      <c r="C24" s="190"/>
      <c r="D24" s="190"/>
      <c r="E24" s="8"/>
      <c r="F24" s="9" t="s">
        <v>1281</v>
      </c>
      <c r="G24" s="13" t="s">
        <v>370</v>
      </c>
      <c r="H24" s="10">
        <v>2</v>
      </c>
      <c r="I24" s="209">
        <v>44074</v>
      </c>
      <c r="J24" s="10"/>
      <c r="K24" s="10"/>
      <c r="M24" s="152" t="s">
        <v>1280</v>
      </c>
      <c r="N24" s="98" t="s">
        <v>371</v>
      </c>
      <c r="O24" s="99" t="s">
        <v>81</v>
      </c>
      <c r="P24" s="104">
        <v>1</v>
      </c>
      <c r="Q24" s="91"/>
    </row>
    <row r="25" spans="1:17">
      <c r="A25" s="164"/>
      <c r="B25" s="199"/>
      <c r="C25" s="190"/>
      <c r="D25" s="190"/>
      <c r="E25" s="8"/>
      <c r="F25" s="9" t="s">
        <v>373</v>
      </c>
      <c r="G25" s="13" t="s">
        <v>374</v>
      </c>
      <c r="H25" s="10">
        <v>3</v>
      </c>
      <c r="I25" s="209"/>
      <c r="J25" s="10" t="s">
        <v>563</v>
      </c>
      <c r="K25" s="10"/>
      <c r="M25" s="99" t="s">
        <v>337</v>
      </c>
      <c r="N25" s="98" t="s">
        <v>370</v>
      </c>
      <c r="O25" s="99" t="s">
        <v>1263</v>
      </c>
      <c r="P25" s="103">
        <v>2</v>
      </c>
      <c r="Q25" s="91"/>
    </row>
    <row r="26" spans="1:17">
      <c r="A26" s="164"/>
      <c r="B26" s="199"/>
      <c r="C26" s="190"/>
      <c r="D26" s="190"/>
      <c r="E26" s="8"/>
      <c r="F26" s="9" t="s">
        <v>338</v>
      </c>
      <c r="G26" s="13" t="s">
        <v>375</v>
      </c>
      <c r="H26" s="10" t="s">
        <v>963</v>
      </c>
      <c r="I26" s="209"/>
      <c r="J26" s="10"/>
      <c r="K26" s="10"/>
      <c r="M26" s="99" t="s">
        <v>338</v>
      </c>
      <c r="N26" s="98" t="s">
        <v>375</v>
      </c>
      <c r="O26" s="99" t="s">
        <v>81</v>
      </c>
      <c r="P26" s="99">
        <v>2</v>
      </c>
      <c r="Q26" s="91"/>
    </row>
    <row r="27" spans="1:17">
      <c r="A27" s="164"/>
      <c r="B27" s="199"/>
      <c r="C27" s="190"/>
      <c r="D27" s="190"/>
      <c r="E27" s="8"/>
      <c r="F27" s="9" t="s">
        <v>339</v>
      </c>
      <c r="G27" s="13" t="s">
        <v>372</v>
      </c>
      <c r="H27" s="119" t="s">
        <v>1297</v>
      </c>
      <c r="I27" s="209" t="s">
        <v>1332</v>
      </c>
      <c r="J27" s="10"/>
      <c r="K27" s="10"/>
      <c r="M27" s="99" t="s">
        <v>334</v>
      </c>
      <c r="N27" s="98" t="s">
        <v>367</v>
      </c>
      <c r="O27" s="99" t="s">
        <v>1263</v>
      </c>
      <c r="P27" s="98">
        <v>3</v>
      </c>
      <c r="Q27" s="91"/>
    </row>
    <row r="28" spans="1:17">
      <c r="A28" s="164"/>
      <c r="B28" s="199"/>
      <c r="C28" s="190"/>
      <c r="D28" s="190"/>
      <c r="E28" s="8"/>
      <c r="F28" s="121" t="s">
        <v>965</v>
      </c>
      <c r="G28" s="13" t="s">
        <v>371</v>
      </c>
      <c r="H28" s="10">
        <v>1</v>
      </c>
      <c r="I28" s="209">
        <v>44043</v>
      </c>
      <c r="J28" s="10"/>
      <c r="K28" s="10"/>
      <c r="M28" s="99" t="s">
        <v>373</v>
      </c>
      <c r="N28" s="99" t="s">
        <v>374</v>
      </c>
      <c r="O28" s="99" t="s">
        <v>1263</v>
      </c>
      <c r="P28" s="99">
        <v>3</v>
      </c>
      <c r="Q28" s="91"/>
    </row>
    <row r="29" spans="1:17">
      <c r="A29" s="164"/>
      <c r="B29" s="199"/>
      <c r="C29" s="190"/>
      <c r="D29" s="190"/>
      <c r="E29" s="8"/>
      <c r="F29" s="9" t="s">
        <v>955</v>
      </c>
      <c r="G29" s="9" t="s">
        <v>956</v>
      </c>
      <c r="H29" s="16" t="s">
        <v>963</v>
      </c>
      <c r="I29" s="209" t="s">
        <v>1332</v>
      </c>
      <c r="J29" s="10"/>
      <c r="K29" s="10" t="s">
        <v>954</v>
      </c>
    </row>
    <row r="30" spans="1:17">
      <c r="A30" s="164"/>
      <c r="B30" s="199"/>
      <c r="C30" s="190"/>
      <c r="D30" s="191"/>
      <c r="E30" s="8"/>
      <c r="F30" s="49" t="s">
        <v>323</v>
      </c>
      <c r="G30" s="49" t="s">
        <v>357</v>
      </c>
      <c r="H30" s="113">
        <v>3</v>
      </c>
      <c r="I30" s="209" t="s">
        <v>1332</v>
      </c>
      <c r="J30" s="10"/>
      <c r="K30" s="192" t="s">
        <v>959</v>
      </c>
      <c r="M30" s="101" t="s">
        <v>1261</v>
      </c>
      <c r="N30" s="101" t="s">
        <v>1262</v>
      </c>
      <c r="O30" t="s">
        <v>1260</v>
      </c>
      <c r="P30" t="s">
        <v>1270</v>
      </c>
    </row>
    <row r="31" spans="1:17">
      <c r="A31" s="164"/>
      <c r="B31" s="199"/>
      <c r="C31" s="190"/>
      <c r="D31" s="189" t="s">
        <v>518</v>
      </c>
      <c r="E31" s="8"/>
      <c r="F31" s="9" t="s">
        <v>324</v>
      </c>
      <c r="G31" s="9" t="s">
        <v>355</v>
      </c>
      <c r="H31" s="16">
        <v>1</v>
      </c>
      <c r="I31" s="209">
        <v>44043</v>
      </c>
      <c r="J31" s="10"/>
      <c r="K31" s="196"/>
    </row>
    <row r="32" spans="1:17" ht="16.5" customHeight="1">
      <c r="A32" s="164"/>
      <c r="B32" s="199"/>
      <c r="C32" s="190"/>
      <c r="D32" s="190"/>
      <c r="E32" s="8"/>
      <c r="F32" s="9" t="s">
        <v>325</v>
      </c>
      <c r="G32" s="9" t="s">
        <v>356</v>
      </c>
      <c r="H32" s="16">
        <v>1</v>
      </c>
      <c r="I32" s="209">
        <v>44043</v>
      </c>
      <c r="J32" s="10"/>
      <c r="K32" s="196"/>
      <c r="M32" s="150" t="s">
        <v>1277</v>
      </c>
    </row>
    <row r="33" spans="1:15" ht="16.5" customHeight="1">
      <c r="A33" s="164"/>
      <c r="B33" s="199"/>
      <c r="C33" s="190"/>
      <c r="D33" s="190"/>
      <c r="E33" s="8"/>
      <c r="F33" s="9" t="s">
        <v>957</v>
      </c>
      <c r="G33" s="9" t="s">
        <v>958</v>
      </c>
      <c r="H33" s="16">
        <v>2</v>
      </c>
      <c r="I33" s="209">
        <v>44043</v>
      </c>
      <c r="J33" s="10" t="s">
        <v>954</v>
      </c>
      <c r="K33" s="197"/>
      <c r="M33" s="151" t="s">
        <v>1278</v>
      </c>
      <c r="N33" s="5" t="s">
        <v>1279</v>
      </c>
      <c r="O33" t="s">
        <v>1282</v>
      </c>
    </row>
    <row r="34" spans="1:15" ht="16.5" customHeight="1">
      <c r="A34" s="164"/>
      <c r="B34" s="199"/>
      <c r="C34" s="190"/>
      <c r="D34" s="190"/>
      <c r="E34" s="8"/>
      <c r="F34" s="9" t="s">
        <v>1275</v>
      </c>
      <c r="G34" s="9" t="s">
        <v>1276</v>
      </c>
      <c r="H34" s="118">
        <v>2</v>
      </c>
      <c r="I34" s="209">
        <v>44074</v>
      </c>
      <c r="J34" s="10"/>
      <c r="K34" s="10" t="s">
        <v>954</v>
      </c>
    </row>
    <row r="35" spans="1:15">
      <c r="A35" s="164"/>
      <c r="B35" s="199"/>
      <c r="C35" s="191"/>
      <c r="D35" s="191"/>
      <c r="E35" s="8"/>
      <c r="F35" s="49" t="s">
        <v>322</v>
      </c>
      <c r="G35" s="49" t="s">
        <v>321</v>
      </c>
      <c r="H35" s="50">
        <v>3</v>
      </c>
      <c r="I35" s="209" t="s">
        <v>1332</v>
      </c>
      <c r="J35" s="10"/>
      <c r="K35" s="10"/>
    </row>
    <row r="36" spans="1:15">
      <c r="A36" s="164"/>
      <c r="B36" s="199"/>
      <c r="C36" s="189" t="s">
        <v>340</v>
      </c>
      <c r="D36" s="189" t="s">
        <v>517</v>
      </c>
      <c r="E36" s="8"/>
      <c r="F36" s="9" t="s">
        <v>308</v>
      </c>
      <c r="G36" s="9" t="s">
        <v>377</v>
      </c>
      <c r="H36" s="16">
        <v>1</v>
      </c>
      <c r="I36" s="209">
        <v>44043</v>
      </c>
      <c r="J36" s="10"/>
      <c r="K36" s="10"/>
    </row>
    <row r="37" spans="1:15">
      <c r="A37" s="164"/>
      <c r="B37" s="200"/>
      <c r="C37" s="191"/>
      <c r="D37" s="191"/>
      <c r="E37" s="8"/>
      <c r="F37" s="9" t="s">
        <v>331</v>
      </c>
      <c r="G37" s="9" t="s">
        <v>376</v>
      </c>
      <c r="H37" s="120" t="s">
        <v>963</v>
      </c>
      <c r="I37" s="209"/>
      <c r="J37" s="10"/>
      <c r="K37" s="10"/>
    </row>
    <row r="38" spans="1:15">
      <c r="A38" s="164"/>
      <c r="B38" s="29" t="s">
        <v>328</v>
      </c>
      <c r="C38" s="27" t="s">
        <v>330</v>
      </c>
      <c r="D38" s="27" t="s">
        <v>330</v>
      </c>
      <c r="E38" s="28"/>
      <c r="F38" s="27" t="s">
        <v>330</v>
      </c>
      <c r="G38" s="10" t="s">
        <v>329</v>
      </c>
      <c r="H38" s="16" t="s">
        <v>330</v>
      </c>
      <c r="I38" s="209"/>
      <c r="J38" s="10"/>
      <c r="K38" s="10"/>
    </row>
    <row r="39" spans="1:15" ht="16.5" customHeight="1">
      <c r="A39" s="164"/>
      <c r="B39" s="198" t="s">
        <v>505</v>
      </c>
      <c r="C39" s="189" t="s">
        <v>510</v>
      </c>
      <c r="D39" s="189" t="s">
        <v>516</v>
      </c>
      <c r="E39" s="8" t="s">
        <v>295</v>
      </c>
      <c r="F39" s="9" t="s">
        <v>296</v>
      </c>
      <c r="G39" s="9" t="s">
        <v>303</v>
      </c>
      <c r="H39" s="10">
        <v>2</v>
      </c>
      <c r="I39" s="209" t="s">
        <v>1331</v>
      </c>
      <c r="J39" s="10"/>
      <c r="K39" s="10"/>
    </row>
    <row r="40" spans="1:15" ht="16.5" customHeight="1">
      <c r="A40" s="164"/>
      <c r="B40" s="199"/>
      <c r="C40" s="164"/>
      <c r="D40" s="164"/>
      <c r="E40" s="17"/>
      <c r="F40" s="9" t="s">
        <v>304</v>
      </c>
      <c r="G40" s="15" t="s">
        <v>306</v>
      </c>
      <c r="H40" s="16">
        <v>1</v>
      </c>
      <c r="I40" s="209">
        <v>44043</v>
      </c>
      <c r="J40" s="10"/>
      <c r="K40" s="10"/>
    </row>
    <row r="41" spans="1:15" ht="16.5" customHeight="1">
      <c r="A41" s="164"/>
      <c r="B41" s="199"/>
      <c r="C41" s="164"/>
      <c r="D41" s="164"/>
      <c r="E41" s="17"/>
      <c r="F41" s="9" t="s">
        <v>305</v>
      </c>
      <c r="G41" s="15" t="s">
        <v>319</v>
      </c>
      <c r="H41" s="16">
        <v>1</v>
      </c>
      <c r="I41" s="209">
        <v>44043</v>
      </c>
      <c r="J41" s="10"/>
      <c r="K41" s="10"/>
    </row>
    <row r="42" spans="1:15">
      <c r="A42" s="164"/>
      <c r="B42" s="199"/>
      <c r="C42" s="164"/>
      <c r="D42" s="165"/>
      <c r="E42" s="17"/>
      <c r="F42" s="9" t="s">
        <v>305</v>
      </c>
      <c r="G42" s="15" t="s">
        <v>320</v>
      </c>
      <c r="H42" s="16">
        <v>2</v>
      </c>
      <c r="I42" s="209">
        <v>44074</v>
      </c>
      <c r="J42" s="10"/>
      <c r="K42" s="10"/>
    </row>
    <row r="43" spans="1:15" ht="16.5" customHeight="1">
      <c r="A43" s="164"/>
      <c r="B43" s="199"/>
      <c r="C43" s="164"/>
      <c r="D43" s="189" t="s">
        <v>515</v>
      </c>
      <c r="E43" s="8"/>
      <c r="F43" s="9" t="s">
        <v>297</v>
      </c>
      <c r="G43" s="9" t="s">
        <v>298</v>
      </c>
      <c r="H43" s="10" t="s">
        <v>961</v>
      </c>
      <c r="I43" s="209">
        <v>44043</v>
      </c>
      <c r="J43" s="10"/>
      <c r="K43" s="192" t="s">
        <v>1164</v>
      </c>
    </row>
    <row r="44" spans="1:15">
      <c r="A44" s="164"/>
      <c r="B44" s="199"/>
      <c r="C44" s="164"/>
      <c r="D44" s="165"/>
      <c r="E44" s="8"/>
      <c r="F44" s="9" t="s">
        <v>289</v>
      </c>
      <c r="G44" s="9" t="s">
        <v>299</v>
      </c>
      <c r="H44" s="10" t="s">
        <v>961</v>
      </c>
      <c r="I44" s="209">
        <v>44043</v>
      </c>
      <c r="J44" s="10"/>
      <c r="K44" s="193"/>
    </row>
    <row r="45" spans="1:15">
      <c r="A45" s="164"/>
      <c r="B45" s="199"/>
      <c r="C45" s="164"/>
      <c r="D45" s="189" t="s">
        <v>514</v>
      </c>
      <c r="E45" s="8"/>
      <c r="F45" s="9" t="s">
        <v>290</v>
      </c>
      <c r="G45" s="9" t="s">
        <v>300</v>
      </c>
      <c r="H45" s="10" t="s">
        <v>963</v>
      </c>
      <c r="I45" s="209"/>
      <c r="J45" s="10"/>
      <c r="K45" s="10"/>
    </row>
    <row r="46" spans="1:15">
      <c r="A46" s="165"/>
      <c r="B46" s="200"/>
      <c r="C46" s="165"/>
      <c r="D46" s="165"/>
      <c r="E46" s="8"/>
      <c r="F46" s="9" t="s">
        <v>301</v>
      </c>
      <c r="G46" s="9" t="s">
        <v>302</v>
      </c>
      <c r="H46" s="10" t="s">
        <v>963</v>
      </c>
      <c r="I46" s="209"/>
      <c r="J46" s="10"/>
      <c r="K46" s="10"/>
    </row>
    <row r="48" spans="1:15">
      <c r="H48" s="216" t="s">
        <v>1333</v>
      </c>
      <c r="I48">
        <f>COUNTA($I$2:$I$46)</f>
        <v>36</v>
      </c>
      <c r="J48" s="217">
        <f>I48/$I$50</f>
        <v>0.8</v>
      </c>
    </row>
    <row r="49" spans="8:10">
      <c r="H49" s="216" t="s">
        <v>1334</v>
      </c>
      <c r="I49">
        <f>COUNTBLANK($I$2:$I$46)</f>
        <v>9</v>
      </c>
      <c r="J49" s="217">
        <f>I49/$I$50</f>
        <v>0.2</v>
      </c>
    </row>
    <row r="50" spans="8:10">
      <c r="H50" s="216" t="s">
        <v>852</v>
      </c>
      <c r="I50">
        <f>SUM(I48:I49)</f>
        <v>45</v>
      </c>
    </row>
  </sheetData>
  <sortState xmlns:xlrd2="http://schemas.microsoft.com/office/spreadsheetml/2017/richdata2" ref="M16:P28">
    <sortCondition ref="P16:P28"/>
  </sortState>
  <mergeCells count="19">
    <mergeCell ref="C2:C5"/>
    <mergeCell ref="C6:C15"/>
    <mergeCell ref="A2:A46"/>
    <mergeCell ref="D43:D44"/>
    <mergeCell ref="D45:D46"/>
    <mergeCell ref="B39:B46"/>
    <mergeCell ref="C39:C46"/>
    <mergeCell ref="D39:D42"/>
    <mergeCell ref="B2:B37"/>
    <mergeCell ref="C16:C35"/>
    <mergeCell ref="C36:C37"/>
    <mergeCell ref="D31:D35"/>
    <mergeCell ref="D36:D37"/>
    <mergeCell ref="D2:D4"/>
    <mergeCell ref="D6:D14"/>
    <mergeCell ref="K43:K44"/>
    <mergeCell ref="M15:N15"/>
    <mergeCell ref="D16:D30"/>
    <mergeCell ref="K30:K33"/>
  </mergeCells>
  <phoneticPr fontId="1" type="noConversion"/>
  <pageMargins left="0.7" right="0.7" top="0.75" bottom="0.75" header="0.3" footer="0.3"/>
  <pageSetup paperSize="9" scale="64" orientation="landscape"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R54"/>
  <sheetViews>
    <sheetView tabSelected="1" topLeftCell="A22" zoomScale="130" zoomScaleNormal="130" workbookViewId="0">
      <selection activeCell="L40" sqref="L40"/>
    </sheetView>
  </sheetViews>
  <sheetFormatPr defaultRowHeight="15"/>
  <cols>
    <col min="11" max="11" width="7.42578125" bestFit="1" customWidth="1"/>
  </cols>
  <sheetData>
    <row r="1" spans="1:2">
      <c r="A1" s="5" t="s">
        <v>1300</v>
      </c>
      <c r="B1" t="s">
        <v>1301</v>
      </c>
    </row>
    <row r="22" spans="1:18">
      <c r="L22" t="s">
        <v>1349</v>
      </c>
    </row>
    <row r="28" spans="1:18">
      <c r="A28" s="5" t="s">
        <v>1302</v>
      </c>
      <c r="B28" t="s">
        <v>1303</v>
      </c>
      <c r="C28" t="s">
        <v>1304</v>
      </c>
      <c r="K28" t="s">
        <v>1335</v>
      </c>
      <c r="L28" t="s">
        <v>1336</v>
      </c>
    </row>
    <row r="29" spans="1:18">
      <c r="A29" t="s">
        <v>1305</v>
      </c>
      <c r="K29">
        <v>1</v>
      </c>
      <c r="L29" t="s">
        <v>1337</v>
      </c>
    </row>
    <row r="30" spans="1:18">
      <c r="A30" t="s">
        <v>1306</v>
      </c>
      <c r="K30">
        <v>2</v>
      </c>
      <c r="L30" t="s">
        <v>1338</v>
      </c>
      <c r="R30" t="s">
        <v>1342</v>
      </c>
    </row>
    <row r="31" spans="1:18">
      <c r="B31" t="s">
        <v>1307</v>
      </c>
      <c r="K31">
        <v>3</v>
      </c>
      <c r="L31" t="s">
        <v>1339</v>
      </c>
    </row>
    <row r="32" spans="1:18">
      <c r="A32" t="s">
        <v>1308</v>
      </c>
      <c r="L32" t="s">
        <v>1340</v>
      </c>
    </row>
    <row r="33" spans="1:12">
      <c r="A33" t="s">
        <v>1309</v>
      </c>
      <c r="L33" t="s">
        <v>1341</v>
      </c>
    </row>
    <row r="34" spans="1:12">
      <c r="A34" t="s">
        <v>1310</v>
      </c>
      <c r="L34" t="s">
        <v>1348</v>
      </c>
    </row>
    <row r="35" spans="1:12">
      <c r="A35" t="s">
        <v>1311</v>
      </c>
      <c r="K35">
        <v>4</v>
      </c>
      <c r="L35" t="s">
        <v>1343</v>
      </c>
    </row>
    <row r="36" spans="1:12">
      <c r="A36" t="s">
        <v>1312</v>
      </c>
      <c r="L36" t="s">
        <v>1344</v>
      </c>
    </row>
    <row r="37" spans="1:12">
      <c r="A37" t="s">
        <v>1313</v>
      </c>
      <c r="L37" s="219" t="s">
        <v>1345</v>
      </c>
    </row>
    <row r="38" spans="1:12">
      <c r="A38" t="s">
        <v>1314</v>
      </c>
      <c r="K38">
        <v>5</v>
      </c>
      <c r="L38" t="s">
        <v>1346</v>
      </c>
    </row>
    <row r="39" spans="1:12">
      <c r="A39" t="s">
        <v>1315</v>
      </c>
      <c r="K39">
        <v>6</v>
      </c>
      <c r="L39" t="s">
        <v>1350</v>
      </c>
    </row>
    <row r="40" spans="1:12">
      <c r="A40" t="s">
        <v>1316</v>
      </c>
      <c r="K40">
        <v>7</v>
      </c>
      <c r="L40" t="s">
        <v>1347</v>
      </c>
    </row>
    <row r="41" spans="1:12">
      <c r="A41" t="s">
        <v>1317</v>
      </c>
    </row>
    <row r="42" spans="1:12">
      <c r="A42" t="s">
        <v>1318</v>
      </c>
    </row>
    <row r="43" spans="1:12">
      <c r="A43" t="s">
        <v>1319</v>
      </c>
    </row>
    <row r="44" spans="1:12">
      <c r="A44" t="s">
        <v>1320</v>
      </c>
    </row>
    <row r="45" spans="1:12">
      <c r="A45" t="s">
        <v>1321</v>
      </c>
    </row>
    <row r="46" spans="1:12">
      <c r="A46" t="s">
        <v>1322</v>
      </c>
    </row>
    <row r="47" spans="1:12">
      <c r="A47" t="s">
        <v>1323</v>
      </c>
    </row>
    <row r="48" spans="1:12">
      <c r="A48" t="s">
        <v>1324</v>
      </c>
    </row>
    <row r="49" spans="1:1">
      <c r="A49" t="s">
        <v>1325</v>
      </c>
    </row>
    <row r="50" spans="1:1">
      <c r="A50" t="s">
        <v>1326</v>
      </c>
    </row>
    <row r="51" spans="1:1">
      <c r="A51" t="s">
        <v>1327</v>
      </c>
    </row>
    <row r="52" spans="1:1">
      <c r="A52" t="s">
        <v>1328</v>
      </c>
    </row>
    <row r="53" spans="1:1">
      <c r="A53" t="s">
        <v>1329</v>
      </c>
    </row>
    <row r="54" spans="1:1">
      <c r="A54" t="s">
        <v>1330</v>
      </c>
    </row>
  </sheetData>
  <phoneticPr fontId="1" type="noConversion"/>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115" zoomScaleNormal="115"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327</v>
      </c>
      <c r="E1" s="203" t="s">
        <v>724</v>
      </c>
      <c r="F1" s="203"/>
      <c r="G1" s="203"/>
    </row>
    <row r="2" spans="1:10">
      <c r="A2" s="19" t="s">
        <v>255</v>
      </c>
      <c r="B2" s="19" t="s">
        <v>257</v>
      </c>
      <c r="E2" s="204" t="s">
        <v>725</v>
      </c>
      <c r="F2" s="204"/>
      <c r="G2" s="204"/>
    </row>
    <row r="3" spans="1:10">
      <c r="A3" s="19" t="s">
        <v>256</v>
      </c>
      <c r="B3" s="19" t="s">
        <v>258</v>
      </c>
    </row>
    <row r="4" spans="1:10">
      <c r="A4" s="19" t="s">
        <v>260</v>
      </c>
      <c r="B4" s="19" t="s">
        <v>259</v>
      </c>
      <c r="E4" s="203" t="s">
        <v>722</v>
      </c>
      <c r="F4" s="203"/>
      <c r="G4" s="25" t="s">
        <v>723</v>
      </c>
      <c r="H4" s="25" t="s">
        <v>726</v>
      </c>
      <c r="J4" s="6" t="s">
        <v>727</v>
      </c>
    </row>
    <row r="5" spans="1:10">
      <c r="E5" s="202" t="s">
        <v>720</v>
      </c>
      <c r="F5" s="202" t="s">
        <v>721</v>
      </c>
      <c r="G5" s="68" t="s">
        <v>747</v>
      </c>
      <c r="H5" s="201" t="s">
        <v>748</v>
      </c>
      <c r="J5" t="s">
        <v>728</v>
      </c>
    </row>
    <row r="6" spans="1:10">
      <c r="A6" t="s">
        <v>261</v>
      </c>
      <c r="E6" s="202"/>
      <c r="F6" s="202"/>
      <c r="G6" s="68" t="s">
        <v>746</v>
      </c>
      <c r="H6" s="202"/>
      <c r="J6" t="s">
        <v>729</v>
      </c>
    </row>
    <row r="7" spans="1:10">
      <c r="A7" t="s">
        <v>394</v>
      </c>
      <c r="B7" t="s">
        <v>794</v>
      </c>
      <c r="J7" t="s">
        <v>730</v>
      </c>
    </row>
    <row r="8" spans="1:10">
      <c r="A8" t="s">
        <v>275</v>
      </c>
      <c r="B8" t="s">
        <v>395</v>
      </c>
      <c r="J8" t="s">
        <v>731</v>
      </c>
    </row>
    <row r="9" spans="1:10">
      <c r="A9" t="s">
        <v>274</v>
      </c>
      <c r="B9" t="s">
        <v>797</v>
      </c>
      <c r="J9" t="s">
        <v>732</v>
      </c>
    </row>
    <row r="10" spans="1:10">
      <c r="A10" t="s">
        <v>396</v>
      </c>
      <c r="J10" s="6" t="s">
        <v>733</v>
      </c>
    </row>
    <row r="11" spans="1:10">
      <c r="A11" t="s">
        <v>564</v>
      </c>
      <c r="J11" t="s">
        <v>728</v>
      </c>
    </row>
    <row r="12" spans="1:10">
      <c r="J12" t="s">
        <v>734</v>
      </c>
    </row>
    <row r="13" spans="1:10">
      <c r="B13" t="s">
        <v>786</v>
      </c>
      <c r="C13" t="s">
        <v>790</v>
      </c>
      <c r="H13" t="s">
        <v>1249</v>
      </c>
      <c r="J13" t="s">
        <v>735</v>
      </c>
    </row>
    <row r="14" spans="1:10">
      <c r="A14" s="81">
        <v>1</v>
      </c>
      <c r="B14" t="s">
        <v>787</v>
      </c>
      <c r="C14" t="s">
        <v>791</v>
      </c>
      <c r="G14" t="s">
        <v>795</v>
      </c>
      <c r="H14" t="s">
        <v>1248</v>
      </c>
      <c r="J14" t="s">
        <v>736</v>
      </c>
    </row>
    <row r="15" spans="1:10">
      <c r="A15" s="81">
        <v>2</v>
      </c>
      <c r="B15" t="s">
        <v>788</v>
      </c>
      <c r="C15" t="s">
        <v>793</v>
      </c>
      <c r="G15" t="s">
        <v>796</v>
      </c>
      <c r="J15" t="s">
        <v>732</v>
      </c>
    </row>
    <row r="16" spans="1:10">
      <c r="A16" s="81">
        <v>3</v>
      </c>
      <c r="B16" t="s">
        <v>789</v>
      </c>
      <c r="C16" t="s">
        <v>792</v>
      </c>
      <c r="G16" t="s">
        <v>1294</v>
      </c>
      <c r="J16" t="s">
        <v>737</v>
      </c>
    </row>
    <row r="17" spans="7:10">
      <c r="G17" s="7" t="s">
        <v>1295</v>
      </c>
      <c r="J17" t="s">
        <v>738</v>
      </c>
    </row>
    <row r="18" spans="7:10">
      <c r="G18" s="7" t="s">
        <v>1296</v>
      </c>
      <c r="J18" t="s">
        <v>739</v>
      </c>
    </row>
    <row r="19" spans="7:10">
      <c r="J19" t="s">
        <v>740</v>
      </c>
    </row>
    <row r="20" spans="7:10">
      <c r="J20" t="s">
        <v>732</v>
      </c>
    </row>
    <row r="21" spans="7:10">
      <c r="J21" s="6" t="s">
        <v>744</v>
      </c>
    </row>
    <row r="22" spans="7:10">
      <c r="J22" t="s">
        <v>732</v>
      </c>
    </row>
    <row r="23" spans="7:10">
      <c r="J23" t="s">
        <v>745</v>
      </c>
    </row>
    <row r="24" spans="7:10">
      <c r="J24" t="s">
        <v>741</v>
      </c>
    </row>
    <row r="25" spans="7:10">
      <c r="J25" t="s">
        <v>742</v>
      </c>
    </row>
    <row r="26" spans="7:10">
      <c r="J26" t="s">
        <v>743</v>
      </c>
    </row>
    <row r="27" spans="7:10">
      <c r="J27" t="s">
        <v>732</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9" sqref="G9"/>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8" bestFit="1" customWidth="1"/>
  </cols>
  <sheetData>
    <row r="1" spans="1:11" ht="30">
      <c r="A1" s="132" t="s">
        <v>846</v>
      </c>
      <c r="B1" s="132" t="s">
        <v>1169</v>
      </c>
      <c r="C1" s="132" t="s">
        <v>640</v>
      </c>
      <c r="D1" s="132" t="s">
        <v>1172</v>
      </c>
      <c r="E1" s="132" t="s">
        <v>1167</v>
      </c>
      <c r="F1" s="132" t="s">
        <v>1168</v>
      </c>
      <c r="G1" s="133" t="s">
        <v>1202</v>
      </c>
      <c r="H1" s="133" t="s">
        <v>1255</v>
      </c>
      <c r="I1" s="132" t="s">
        <v>1176</v>
      </c>
      <c r="J1" s="132" t="s">
        <v>1182</v>
      </c>
      <c r="K1" s="132" t="s">
        <v>1188</v>
      </c>
    </row>
    <row r="2" spans="1:11">
      <c r="A2" s="131">
        <v>44028</v>
      </c>
      <c r="B2" s="8" t="s">
        <v>1170</v>
      </c>
      <c r="C2" s="8" t="s">
        <v>1171</v>
      </c>
      <c r="D2" s="115" t="s">
        <v>1173</v>
      </c>
      <c r="E2" s="8" t="s">
        <v>1175</v>
      </c>
      <c r="F2" s="115" t="s">
        <v>1174</v>
      </c>
      <c r="G2" s="115">
        <v>0.36</v>
      </c>
      <c r="H2" s="115"/>
      <c r="I2" s="115" t="s">
        <v>1177</v>
      </c>
      <c r="J2" s="115" t="s">
        <v>892</v>
      </c>
      <c r="K2" s="205" t="s">
        <v>1194</v>
      </c>
    </row>
    <row r="3" spans="1:11">
      <c r="A3" s="131">
        <v>44028</v>
      </c>
      <c r="B3" s="8" t="s">
        <v>1179</v>
      </c>
      <c r="C3" s="8" t="s">
        <v>1193</v>
      </c>
      <c r="D3" s="115" t="s">
        <v>1173</v>
      </c>
      <c r="E3" s="8" t="s">
        <v>1180</v>
      </c>
      <c r="F3" s="115" t="s">
        <v>1192</v>
      </c>
      <c r="G3" s="115">
        <v>0.78</v>
      </c>
      <c r="H3" s="115"/>
      <c r="I3" s="115" t="s">
        <v>1181</v>
      </c>
      <c r="J3" s="115" t="s">
        <v>892</v>
      </c>
      <c r="K3" s="206"/>
    </row>
    <row r="4" spans="1:11">
      <c r="A4" s="131">
        <v>44029</v>
      </c>
      <c r="B4" s="8" t="s">
        <v>1184</v>
      </c>
      <c r="C4" s="8" t="s">
        <v>1186</v>
      </c>
      <c r="D4" s="115" t="s">
        <v>1173</v>
      </c>
      <c r="E4" s="8" t="s">
        <v>1185</v>
      </c>
      <c r="F4" s="115" t="s">
        <v>1187</v>
      </c>
      <c r="G4" s="115">
        <v>5.83</v>
      </c>
      <c r="H4" s="115"/>
      <c r="I4" s="115"/>
      <c r="J4" s="115" t="s">
        <v>892</v>
      </c>
      <c r="K4" s="206"/>
    </row>
    <row r="5" spans="1:11" ht="45">
      <c r="A5" s="131">
        <v>44029</v>
      </c>
      <c r="B5" s="8" t="s">
        <v>1183</v>
      </c>
      <c r="C5" s="8" t="s">
        <v>1189</v>
      </c>
      <c r="D5" s="115" t="s">
        <v>1173</v>
      </c>
      <c r="E5" s="18" t="s">
        <v>1191</v>
      </c>
      <c r="F5" s="115" t="s">
        <v>1190</v>
      </c>
      <c r="G5" s="115">
        <v>2.21</v>
      </c>
      <c r="H5" s="115"/>
      <c r="I5" s="115"/>
      <c r="J5" s="115" t="s">
        <v>892</v>
      </c>
      <c r="K5" s="207"/>
    </row>
    <row r="6" spans="1:11" ht="60">
      <c r="A6" s="131">
        <v>44029</v>
      </c>
      <c r="B6" s="8" t="s">
        <v>1183</v>
      </c>
      <c r="C6" s="8" t="s">
        <v>1204</v>
      </c>
      <c r="D6" s="115" t="s">
        <v>1173</v>
      </c>
      <c r="E6" s="18" t="s">
        <v>1191</v>
      </c>
      <c r="F6" s="115" t="s">
        <v>1195</v>
      </c>
      <c r="G6" s="18" t="s">
        <v>1205</v>
      </c>
      <c r="H6" s="18"/>
      <c r="I6" s="115" t="s">
        <v>1203</v>
      </c>
      <c r="J6" s="8"/>
      <c r="K6" s="8" t="s">
        <v>1201</v>
      </c>
    </row>
    <row r="7" spans="1:11" ht="60">
      <c r="A7" s="131">
        <v>44029</v>
      </c>
      <c r="B7" s="8" t="s">
        <v>1183</v>
      </c>
      <c r="C7" s="8" t="s">
        <v>1215</v>
      </c>
      <c r="D7" s="115" t="s">
        <v>1173</v>
      </c>
      <c r="E7" s="18" t="s">
        <v>1191</v>
      </c>
      <c r="F7" s="115" t="s">
        <v>1206</v>
      </c>
      <c r="G7" s="18" t="s">
        <v>1207</v>
      </c>
      <c r="H7" s="18"/>
      <c r="I7" s="115" t="s">
        <v>1203</v>
      </c>
      <c r="J7" s="8"/>
      <c r="K7" s="8"/>
    </row>
    <row r="8" spans="1:11" ht="60">
      <c r="A8" s="131">
        <v>44029</v>
      </c>
      <c r="B8" s="8" t="s">
        <v>1183</v>
      </c>
      <c r="C8" s="8" t="s">
        <v>1208</v>
      </c>
      <c r="D8" s="115" t="s">
        <v>1173</v>
      </c>
      <c r="E8" s="18" t="s">
        <v>1191</v>
      </c>
      <c r="F8" s="115" t="s">
        <v>1196</v>
      </c>
      <c r="G8" s="18" t="s">
        <v>1209</v>
      </c>
      <c r="H8" s="18" t="s">
        <v>1240</v>
      </c>
      <c r="I8" s="115" t="s">
        <v>1203</v>
      </c>
      <c r="J8" s="8"/>
      <c r="K8" s="18" t="s">
        <v>1246</v>
      </c>
    </row>
    <row r="9" spans="1:11" ht="60">
      <c r="A9" s="131">
        <v>44029</v>
      </c>
      <c r="B9" s="8" t="s">
        <v>1183</v>
      </c>
      <c r="C9" s="8" t="s">
        <v>1210</v>
      </c>
      <c r="D9" s="115" t="s">
        <v>1173</v>
      </c>
      <c r="E9" s="18" t="s">
        <v>1191</v>
      </c>
      <c r="F9" s="141" t="s">
        <v>1243</v>
      </c>
      <c r="G9" s="142" t="s">
        <v>1211</v>
      </c>
      <c r="H9" s="139" t="s">
        <v>1241</v>
      </c>
      <c r="I9" s="115" t="s">
        <v>1203</v>
      </c>
      <c r="J9" s="8"/>
      <c r="K9" s="18" t="s">
        <v>1247</v>
      </c>
    </row>
    <row r="10" spans="1:11" ht="64.5" customHeight="1">
      <c r="A10" s="138" t="s">
        <v>1227</v>
      </c>
      <c r="B10" s="8" t="s">
        <v>1183</v>
      </c>
      <c r="C10" s="8" t="s">
        <v>1214</v>
      </c>
      <c r="D10" s="115" t="s">
        <v>1173</v>
      </c>
      <c r="E10" s="18" t="s">
        <v>1191</v>
      </c>
      <c r="F10" s="115" t="s">
        <v>1198</v>
      </c>
      <c r="G10" s="18" t="s">
        <v>1242</v>
      </c>
      <c r="H10" s="18"/>
      <c r="I10" s="115" t="s">
        <v>1203</v>
      </c>
      <c r="J10" s="8"/>
      <c r="K10" s="18" t="s">
        <v>1244</v>
      </c>
    </row>
    <row r="11" spans="1:11" ht="45">
      <c r="A11" s="136" t="s">
        <v>1218</v>
      </c>
      <c r="B11" s="8" t="s">
        <v>1183</v>
      </c>
      <c r="C11" s="8" t="s">
        <v>1214</v>
      </c>
      <c r="D11" s="115" t="s">
        <v>1173</v>
      </c>
      <c r="E11" s="18" t="s">
        <v>1191</v>
      </c>
      <c r="F11" s="115" t="s">
        <v>1198</v>
      </c>
      <c r="G11" s="135" t="s">
        <v>1245</v>
      </c>
      <c r="H11" s="135"/>
      <c r="I11" s="115" t="s">
        <v>1217</v>
      </c>
      <c r="J11" s="8"/>
      <c r="K11" s="18" t="s">
        <v>1212</v>
      </c>
    </row>
    <row r="12" spans="1:11">
      <c r="A12" s="8"/>
      <c r="B12" s="8"/>
      <c r="C12" s="8"/>
      <c r="D12" s="8"/>
      <c r="E12" s="8"/>
      <c r="F12" s="115" t="s">
        <v>1199</v>
      </c>
      <c r="G12" s="8"/>
      <c r="H12" s="8"/>
      <c r="I12" s="115" t="s">
        <v>1203</v>
      </c>
      <c r="J12" s="8"/>
      <c r="K12" s="8" t="s">
        <v>1213</v>
      </c>
    </row>
    <row r="13" spans="1:11">
      <c r="A13" s="8"/>
      <c r="B13" s="8"/>
      <c r="C13" s="8"/>
      <c r="D13" s="8"/>
      <c r="E13" s="8"/>
      <c r="F13" s="115" t="s">
        <v>1200</v>
      </c>
      <c r="G13" s="8"/>
      <c r="H13" s="8"/>
      <c r="I13" s="115" t="s">
        <v>1203</v>
      </c>
      <c r="J13" s="8"/>
      <c r="K13" s="8" t="s">
        <v>1228</v>
      </c>
    </row>
    <row r="14" spans="1:11">
      <c r="A14" s="128"/>
      <c r="B14" s="128"/>
      <c r="C14" s="128"/>
      <c r="D14" s="128"/>
      <c r="E14" s="134" t="s">
        <v>1216</v>
      </c>
      <c r="F14" s="129"/>
      <c r="G14" s="134" t="s">
        <v>1254</v>
      </c>
      <c r="H14" s="128"/>
      <c r="I14" s="129"/>
      <c r="J14" s="128"/>
    </row>
    <row r="15" spans="1:11">
      <c r="A15" s="128"/>
      <c r="B15" s="128"/>
      <c r="C15" s="128"/>
      <c r="D15" s="128"/>
      <c r="E15" s="128"/>
      <c r="F15" s="129"/>
      <c r="G15" s="128" t="s">
        <v>1233</v>
      </c>
      <c r="H15" s="128" t="s">
        <v>1234</v>
      </c>
      <c r="I15" s="129"/>
      <c r="J15" s="128"/>
    </row>
    <row r="16" spans="1:11">
      <c r="A16" s="128"/>
      <c r="B16" s="128"/>
      <c r="C16" s="128"/>
      <c r="D16" s="128"/>
      <c r="E16" s="128"/>
      <c r="G16" s="128"/>
      <c r="H16" s="128"/>
      <c r="I16" s="129"/>
      <c r="J16" s="128"/>
    </row>
    <row r="17" spans="1:10" ht="15" customHeight="1">
      <c r="A17" s="128"/>
      <c r="B17" s="128"/>
      <c r="C17" s="128"/>
      <c r="D17" s="128"/>
      <c r="E17" s="128"/>
      <c r="F17" s="139"/>
      <c r="G17" s="8" t="s">
        <v>1256</v>
      </c>
      <c r="H17" s="124" t="s">
        <v>1257</v>
      </c>
      <c r="I17" s="129"/>
      <c r="J17" s="128"/>
    </row>
    <row r="18" spans="1:10">
      <c r="A18" s="128"/>
      <c r="B18" s="128"/>
      <c r="C18" s="128"/>
      <c r="D18" s="128"/>
      <c r="E18" s="128"/>
      <c r="F18" s="208" t="s">
        <v>1239</v>
      </c>
      <c r="G18" s="8" t="s">
        <v>1236</v>
      </c>
      <c r="H18" s="124" t="s">
        <v>1251</v>
      </c>
      <c r="I18" s="129"/>
      <c r="J18" s="128"/>
    </row>
    <row r="19" spans="1:10">
      <c r="F19" s="208"/>
      <c r="G19" s="148" t="s">
        <v>1235</v>
      </c>
      <c r="H19" s="149" t="s">
        <v>1252</v>
      </c>
    </row>
    <row r="20" spans="1:10">
      <c r="F20" s="208"/>
      <c r="G20" s="8" t="s">
        <v>1237</v>
      </c>
      <c r="H20" s="124" t="s">
        <v>1251</v>
      </c>
    </row>
    <row r="21" spans="1:10">
      <c r="F21" s="208"/>
      <c r="G21" s="8" t="s">
        <v>1238</v>
      </c>
      <c r="H21" s="143" t="s">
        <v>1253</v>
      </c>
    </row>
    <row r="22" spans="1:10">
      <c r="G22" s="140"/>
    </row>
    <row r="23" spans="1:10">
      <c r="F23" s="137" t="s">
        <v>1250</v>
      </c>
      <c r="G23" t="s">
        <v>1219</v>
      </c>
      <c r="H23" t="s">
        <v>1223</v>
      </c>
    </row>
    <row r="24" spans="1:10">
      <c r="F24" s="137" t="s">
        <v>1206</v>
      </c>
      <c r="G24" s="81">
        <v>1</v>
      </c>
      <c r="H24" t="s">
        <v>1221</v>
      </c>
    </row>
    <row r="25" spans="1:10">
      <c r="F25" s="137" t="s">
        <v>1206</v>
      </c>
      <c r="G25" s="81">
        <v>8</v>
      </c>
      <c r="H25" t="s">
        <v>1220</v>
      </c>
    </row>
    <row r="26" spans="1:10">
      <c r="F26" s="137" t="s">
        <v>1197</v>
      </c>
      <c r="G26" s="81">
        <v>1</v>
      </c>
      <c r="H26" t="s">
        <v>1224</v>
      </c>
    </row>
    <row r="27" spans="1:10">
      <c r="F27" s="137" t="s">
        <v>1197</v>
      </c>
      <c r="G27" s="81">
        <v>4</v>
      </c>
      <c r="H27" t="s">
        <v>1231</v>
      </c>
    </row>
    <row r="28" spans="1:10">
      <c r="F28" s="137" t="s">
        <v>1197</v>
      </c>
      <c r="G28" s="81">
        <v>8</v>
      </c>
      <c r="H28" t="s">
        <v>1222</v>
      </c>
    </row>
    <row r="29" spans="1:10">
      <c r="F29" s="137" t="s">
        <v>1198</v>
      </c>
      <c r="G29" s="81">
        <v>1</v>
      </c>
      <c r="H29" t="s">
        <v>1225</v>
      </c>
    </row>
    <row r="30" spans="1:10">
      <c r="F30" s="137" t="s">
        <v>1198</v>
      </c>
      <c r="G30" s="81">
        <v>4</v>
      </c>
      <c r="H30" t="s">
        <v>1232</v>
      </c>
    </row>
    <row r="31" spans="1:10">
      <c r="F31" s="137" t="s">
        <v>1198</v>
      </c>
      <c r="G31" s="81">
        <v>8</v>
      </c>
      <c r="H31" t="s">
        <v>1226</v>
      </c>
    </row>
    <row r="32" spans="1:10">
      <c r="F32" s="137" t="s">
        <v>1200</v>
      </c>
      <c r="G32" s="81">
        <v>1</v>
      </c>
      <c r="H32" t="s">
        <v>1229</v>
      </c>
    </row>
    <row r="33" spans="6:8">
      <c r="F33" s="137" t="s">
        <v>1200</v>
      </c>
      <c r="G33" s="81">
        <v>8</v>
      </c>
      <c r="H33" t="s">
        <v>1230</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9"/>
  <sheetViews>
    <sheetView zoomScale="160" zoomScaleNormal="160" workbookViewId="0">
      <selection activeCell="C13" sqref="C13"/>
    </sheetView>
  </sheetViews>
  <sheetFormatPr defaultRowHeight="15"/>
  <cols>
    <col min="1" max="1" width="32.7109375" bestFit="1" customWidth="1"/>
    <col min="2" max="2" width="9" bestFit="1" customWidth="1"/>
    <col min="3" max="3" width="88.28515625" bestFit="1" customWidth="1"/>
  </cols>
  <sheetData>
    <row r="1" spans="1:3">
      <c r="A1" s="25" t="s">
        <v>0</v>
      </c>
      <c r="B1" s="25" t="s">
        <v>326</v>
      </c>
      <c r="C1" s="25" t="s">
        <v>263</v>
      </c>
    </row>
    <row r="2" spans="1:3">
      <c r="A2" s="19" t="s">
        <v>1</v>
      </c>
      <c r="B2" s="20">
        <v>1</v>
      </c>
      <c r="C2" s="19" t="s">
        <v>1285</v>
      </c>
    </row>
    <row r="3" spans="1:3">
      <c r="A3" s="19" t="s">
        <v>2</v>
      </c>
      <c r="B3" s="20">
        <v>1</v>
      </c>
      <c r="C3" s="19" t="s">
        <v>264</v>
      </c>
    </row>
    <row r="4" spans="1:3">
      <c r="A4" s="19" t="s">
        <v>6</v>
      </c>
      <c r="B4" s="20">
        <v>1</v>
      </c>
      <c r="C4" s="21" t="s">
        <v>268</v>
      </c>
    </row>
    <row r="5" spans="1:3" ht="45">
      <c r="A5" s="18" t="s">
        <v>271</v>
      </c>
      <c r="B5" s="22">
        <v>1</v>
      </c>
      <c r="C5" s="23" t="s">
        <v>265</v>
      </c>
    </row>
    <row r="6" spans="1:3">
      <c r="A6" s="19" t="s">
        <v>266</v>
      </c>
      <c r="B6" s="20">
        <v>2</v>
      </c>
      <c r="C6" s="21" t="s">
        <v>267</v>
      </c>
    </row>
    <row r="7" spans="1:3">
      <c r="A7" s="19" t="s">
        <v>269</v>
      </c>
      <c r="B7" s="20">
        <v>2</v>
      </c>
      <c r="C7" s="24" t="s">
        <v>270</v>
      </c>
    </row>
    <row r="8" spans="1:3">
      <c r="A8" s="19" t="s">
        <v>3</v>
      </c>
      <c r="B8" s="20">
        <v>2</v>
      </c>
      <c r="C8" s="19"/>
    </row>
    <row r="9" spans="1:3">
      <c r="A9" s="19" t="s">
        <v>4</v>
      </c>
      <c r="B9" s="20">
        <v>2</v>
      </c>
      <c r="C9" s="19"/>
    </row>
  </sheetData>
  <phoneticPr fontId="1" type="noConversion"/>
  <hyperlinks>
    <hyperlink ref="C4" r:id="rId1" xr:uid="{00000000-0004-0000-0A00-000000000000}"/>
    <hyperlink ref="C6" r:id="rId2" xr:uid="{00000000-0004-0000-0A00-000001000000}"/>
  </hyperlinks>
  <pageMargins left="0.7" right="0.7" top="0.75" bottom="0.75" header="0.3" footer="0.3"/>
  <pageSetup paperSize="9" orientation="portrait" verticalDpi="0" r:id="rId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C113"/>
  <sheetViews>
    <sheetView workbookViewId="0">
      <selection activeCell="C74" sqref="C74"/>
    </sheetView>
  </sheetViews>
  <sheetFormatPr defaultRowHeight="15"/>
  <cols>
    <col min="1" max="1" width="9.140625" bestFit="1" customWidth="1"/>
    <col min="2" max="2" width="23.85546875" customWidth="1"/>
    <col min="3" max="3" width="172" bestFit="1" customWidth="1"/>
  </cols>
  <sheetData>
    <row r="1" spans="1:3">
      <c r="A1" s="122" t="s">
        <v>971</v>
      </c>
      <c r="B1" s="123" t="s">
        <v>972</v>
      </c>
      <c r="C1" s="123" t="s">
        <v>973</v>
      </c>
    </row>
    <row r="2" spans="1:3">
      <c r="A2" s="19" t="s">
        <v>758</v>
      </c>
      <c r="B2" s="19" t="s">
        <v>974</v>
      </c>
      <c r="C2" s="19" t="s">
        <v>975</v>
      </c>
    </row>
    <row r="3" spans="1:3">
      <c r="A3" s="19" t="s">
        <v>758</v>
      </c>
      <c r="B3" s="19" t="s">
        <v>976</v>
      </c>
      <c r="C3" s="19" t="s">
        <v>977</v>
      </c>
    </row>
    <row r="4" spans="1:3">
      <c r="A4" s="19" t="s">
        <v>758</v>
      </c>
      <c r="B4" s="19" t="s">
        <v>978</v>
      </c>
      <c r="C4" s="19" t="s">
        <v>979</v>
      </c>
    </row>
    <row r="5" spans="1:3">
      <c r="A5" s="19" t="s">
        <v>758</v>
      </c>
      <c r="B5" s="19" t="s">
        <v>980</v>
      </c>
      <c r="C5" s="19" t="s">
        <v>981</v>
      </c>
    </row>
    <row r="6" spans="1:3">
      <c r="A6" s="19" t="s">
        <v>758</v>
      </c>
      <c r="B6" s="19" t="s">
        <v>982</v>
      </c>
      <c r="C6" s="19" t="s">
        <v>983</v>
      </c>
    </row>
    <row r="7" spans="1:3">
      <c r="A7" s="19" t="s">
        <v>758</v>
      </c>
      <c r="B7" s="19" t="s">
        <v>984</v>
      </c>
      <c r="C7" s="19" t="s">
        <v>985</v>
      </c>
    </row>
    <row r="8" spans="1:3">
      <c r="A8" s="19" t="s">
        <v>758</v>
      </c>
      <c r="B8" s="19" t="s">
        <v>986</v>
      </c>
      <c r="C8" s="19" t="s">
        <v>987</v>
      </c>
    </row>
    <row r="9" spans="1:3">
      <c r="A9" s="19" t="s">
        <v>758</v>
      </c>
      <c r="B9" s="19" t="s">
        <v>988</v>
      </c>
      <c r="C9" s="19" t="s">
        <v>989</v>
      </c>
    </row>
    <row r="10" spans="1:3">
      <c r="A10" s="19" t="s">
        <v>758</v>
      </c>
      <c r="B10" s="19" t="s">
        <v>990</v>
      </c>
      <c r="C10" s="19" t="s">
        <v>991</v>
      </c>
    </row>
    <row r="11" spans="1:3">
      <c r="A11" s="19" t="s">
        <v>758</v>
      </c>
      <c r="B11" s="19" t="s">
        <v>992</v>
      </c>
      <c r="C11" s="19" t="s">
        <v>993</v>
      </c>
    </row>
    <row r="12" spans="1:3">
      <c r="A12" s="19" t="s">
        <v>758</v>
      </c>
      <c r="B12" s="19" t="s">
        <v>994</v>
      </c>
      <c r="C12" s="19" t="s">
        <v>995</v>
      </c>
    </row>
    <row r="13" spans="1:3">
      <c r="A13" s="19" t="s">
        <v>758</v>
      </c>
      <c r="B13" s="19" t="s">
        <v>996</v>
      </c>
      <c r="C13" s="19" t="s">
        <v>997</v>
      </c>
    </row>
    <row r="14" spans="1:3">
      <c r="A14" s="19" t="s">
        <v>758</v>
      </c>
      <c r="B14" s="19" t="s">
        <v>998</v>
      </c>
      <c r="C14" s="19" t="s">
        <v>999</v>
      </c>
    </row>
    <row r="15" spans="1:3">
      <c r="A15" s="19" t="s">
        <v>758</v>
      </c>
      <c r="B15" s="19" t="s">
        <v>1000</v>
      </c>
      <c r="C15" s="19" t="s">
        <v>1001</v>
      </c>
    </row>
    <row r="16" spans="1:3">
      <c r="A16" s="19" t="s">
        <v>758</v>
      </c>
      <c r="B16" s="19" t="s">
        <v>1002</v>
      </c>
      <c r="C16" s="19" t="s">
        <v>1003</v>
      </c>
    </row>
    <row r="17" spans="1:3">
      <c r="A17" s="19" t="s">
        <v>758</v>
      </c>
      <c r="B17" s="19" t="s">
        <v>1004</v>
      </c>
      <c r="C17" s="19" t="s">
        <v>1005</v>
      </c>
    </row>
    <row r="18" spans="1:3">
      <c r="A18" s="19" t="s">
        <v>758</v>
      </c>
      <c r="B18" s="19" t="s">
        <v>1006</v>
      </c>
      <c r="C18" s="19" t="s">
        <v>1007</v>
      </c>
    </row>
    <row r="19" spans="1:3">
      <c r="A19" s="19" t="s">
        <v>758</v>
      </c>
      <c r="B19" s="19" t="s">
        <v>1008</v>
      </c>
      <c r="C19" s="19" t="s">
        <v>1009</v>
      </c>
    </row>
    <row r="20" spans="1:3">
      <c r="A20" s="19" t="s">
        <v>758</v>
      </c>
      <c r="B20" s="19" t="s">
        <v>1010</v>
      </c>
      <c r="C20" s="19" t="s">
        <v>1011</v>
      </c>
    </row>
    <row r="21" spans="1:3">
      <c r="A21" s="19" t="s">
        <v>758</v>
      </c>
      <c r="B21" s="19" t="s">
        <v>1012</v>
      </c>
      <c r="C21" s="19" t="s">
        <v>1013</v>
      </c>
    </row>
    <row r="22" spans="1:3">
      <c r="A22" s="19" t="s">
        <v>758</v>
      </c>
      <c r="B22" s="19" t="s">
        <v>1014</v>
      </c>
      <c r="C22" s="19" t="s">
        <v>1015</v>
      </c>
    </row>
    <row r="23" spans="1:3">
      <c r="A23" s="19" t="s">
        <v>758</v>
      </c>
      <c r="B23" s="19" t="s">
        <v>1016</v>
      </c>
      <c r="C23" s="19" t="s">
        <v>1017</v>
      </c>
    </row>
    <row r="24" spans="1:3">
      <c r="A24" s="19" t="s">
        <v>758</v>
      </c>
      <c r="B24" s="19" t="s">
        <v>1018</v>
      </c>
      <c r="C24" s="19" t="s">
        <v>1019</v>
      </c>
    </row>
    <row r="25" spans="1:3">
      <c r="A25" s="19" t="s">
        <v>758</v>
      </c>
      <c r="B25" s="19" t="s">
        <v>1020</v>
      </c>
      <c r="C25" s="19" t="s">
        <v>1021</v>
      </c>
    </row>
    <row r="26" spans="1:3">
      <c r="A26" s="19" t="s">
        <v>758</v>
      </c>
      <c r="B26" s="19" t="s">
        <v>1022</v>
      </c>
      <c r="C26" s="19" t="s">
        <v>1023</v>
      </c>
    </row>
    <row r="27" spans="1:3">
      <c r="A27" s="19" t="s">
        <v>758</v>
      </c>
      <c r="B27" s="19" t="s">
        <v>837</v>
      </c>
      <c r="C27" s="19" t="s">
        <v>1024</v>
      </c>
    </row>
    <row r="28" spans="1:3">
      <c r="A28" s="19" t="s">
        <v>758</v>
      </c>
      <c r="B28" s="19" t="s">
        <v>1025</v>
      </c>
      <c r="C28" s="19" t="s">
        <v>1026</v>
      </c>
    </row>
    <row r="29" spans="1:3">
      <c r="A29" s="19" t="s">
        <v>758</v>
      </c>
      <c r="B29" s="19" t="s">
        <v>1027</v>
      </c>
      <c r="C29" s="19" t="s">
        <v>1028</v>
      </c>
    </row>
    <row r="30" spans="1:3">
      <c r="A30" s="19" t="s">
        <v>758</v>
      </c>
      <c r="B30" s="19" t="s">
        <v>1029</v>
      </c>
      <c r="C30" s="19" t="s">
        <v>1030</v>
      </c>
    </row>
    <row r="31" spans="1:3">
      <c r="A31" s="19" t="s">
        <v>758</v>
      </c>
      <c r="B31" s="19" t="s">
        <v>1031</v>
      </c>
      <c r="C31" s="19" t="s">
        <v>1032</v>
      </c>
    </row>
    <row r="32" spans="1:3">
      <c r="A32" s="19" t="s">
        <v>758</v>
      </c>
      <c r="B32" s="19" t="s">
        <v>1033</v>
      </c>
      <c r="C32" s="19" t="s">
        <v>1034</v>
      </c>
    </row>
    <row r="33" spans="1:3">
      <c r="A33" s="19" t="s">
        <v>758</v>
      </c>
      <c r="B33" s="19" t="s">
        <v>1035</v>
      </c>
      <c r="C33" s="19" t="s">
        <v>1036</v>
      </c>
    </row>
    <row r="34" spans="1:3">
      <c r="A34" s="19" t="s">
        <v>758</v>
      </c>
      <c r="B34" s="19" t="s">
        <v>835</v>
      </c>
      <c r="C34" s="19" t="s">
        <v>1037</v>
      </c>
    </row>
    <row r="35" spans="1:3">
      <c r="A35" s="19" t="s">
        <v>758</v>
      </c>
      <c r="B35" s="19" t="s">
        <v>1038</v>
      </c>
      <c r="C35" s="19" t="s">
        <v>1039</v>
      </c>
    </row>
    <row r="36" spans="1:3">
      <c r="A36" s="19" t="s">
        <v>758</v>
      </c>
      <c r="B36" s="19" t="s">
        <v>1040</v>
      </c>
      <c r="C36" s="19" t="s">
        <v>1041</v>
      </c>
    </row>
    <row r="37" spans="1:3">
      <c r="A37" s="19" t="s">
        <v>758</v>
      </c>
      <c r="B37" s="19" t="s">
        <v>948</v>
      </c>
      <c r="C37" s="19" t="s">
        <v>1042</v>
      </c>
    </row>
    <row r="38" spans="1:3">
      <c r="A38" s="19" t="s">
        <v>758</v>
      </c>
      <c r="B38" s="19" t="s">
        <v>833</v>
      </c>
      <c r="C38" s="19" t="s">
        <v>1043</v>
      </c>
    </row>
    <row r="39" spans="1:3">
      <c r="A39" s="19" t="s">
        <v>758</v>
      </c>
      <c r="B39" s="19" t="s">
        <v>1044</v>
      </c>
      <c r="C39" s="19" t="s">
        <v>1045</v>
      </c>
    </row>
    <row r="40" spans="1:3">
      <c r="A40" s="19" t="s">
        <v>758</v>
      </c>
      <c r="B40" s="19" t="s">
        <v>836</v>
      </c>
      <c r="C40" s="19" t="s">
        <v>1046</v>
      </c>
    </row>
    <row r="41" spans="1:3">
      <c r="A41" s="19" t="s">
        <v>758</v>
      </c>
      <c r="B41" s="19" t="s">
        <v>1047</v>
      </c>
      <c r="C41" s="19" t="s">
        <v>1048</v>
      </c>
    </row>
    <row r="42" spans="1:3">
      <c r="A42" s="19" t="s">
        <v>758</v>
      </c>
      <c r="B42" s="19" t="s">
        <v>1049</v>
      </c>
      <c r="C42" s="19" t="s">
        <v>1050</v>
      </c>
    </row>
    <row r="43" spans="1:3">
      <c r="A43" s="124" t="s">
        <v>385</v>
      </c>
      <c r="B43" s="124" t="s">
        <v>1051</v>
      </c>
      <c r="C43" s="124" t="s">
        <v>1052</v>
      </c>
    </row>
    <row r="44" spans="1:3">
      <c r="A44" s="124" t="s">
        <v>385</v>
      </c>
      <c r="B44" s="124" t="s">
        <v>1053</v>
      </c>
      <c r="C44" s="124" t="s">
        <v>975</v>
      </c>
    </row>
    <row r="45" spans="1:3">
      <c r="A45" s="124" t="s">
        <v>385</v>
      </c>
      <c r="B45" s="124" t="s">
        <v>1054</v>
      </c>
      <c r="C45" s="124" t="s">
        <v>1055</v>
      </c>
    </row>
    <row r="46" spans="1:3">
      <c r="A46" s="124" t="s">
        <v>385</v>
      </c>
      <c r="B46" s="124" t="s">
        <v>619</v>
      </c>
      <c r="C46" s="124" t="s">
        <v>1056</v>
      </c>
    </row>
    <row r="47" spans="1:3">
      <c r="A47" s="124" t="s">
        <v>385</v>
      </c>
      <c r="B47" s="124" t="s">
        <v>617</v>
      </c>
      <c r="C47" s="124" t="s">
        <v>1057</v>
      </c>
    </row>
    <row r="48" spans="1:3">
      <c r="A48" s="124" t="s">
        <v>385</v>
      </c>
      <c r="B48" s="124" t="s">
        <v>1058</v>
      </c>
      <c r="C48" s="124" t="s">
        <v>1059</v>
      </c>
    </row>
    <row r="49" spans="1:3">
      <c r="A49" s="124" t="s">
        <v>385</v>
      </c>
      <c r="B49" s="124" t="s">
        <v>1060</v>
      </c>
      <c r="C49" s="124" t="s">
        <v>1061</v>
      </c>
    </row>
    <row r="50" spans="1:3">
      <c r="A50" s="124" t="s">
        <v>385</v>
      </c>
      <c r="B50" s="124" t="s">
        <v>1062</v>
      </c>
      <c r="C50" s="124" t="s">
        <v>1063</v>
      </c>
    </row>
    <row r="51" spans="1:3">
      <c r="A51" s="124" t="s">
        <v>385</v>
      </c>
      <c r="B51" s="124" t="s">
        <v>1064</v>
      </c>
      <c r="C51" s="124" t="s">
        <v>1065</v>
      </c>
    </row>
    <row r="52" spans="1:3">
      <c r="A52" s="124" t="s">
        <v>385</v>
      </c>
      <c r="B52" s="124" t="s">
        <v>1066</v>
      </c>
      <c r="C52" s="124" t="s">
        <v>1067</v>
      </c>
    </row>
    <row r="53" spans="1:3">
      <c r="A53" s="124" t="s">
        <v>385</v>
      </c>
      <c r="B53" s="124" t="s">
        <v>1068</v>
      </c>
      <c r="C53" s="19" t="s">
        <v>1069</v>
      </c>
    </row>
    <row r="54" spans="1:3">
      <c r="A54" s="124" t="s">
        <v>385</v>
      </c>
      <c r="B54" s="124" t="s">
        <v>1070</v>
      </c>
      <c r="C54" s="19" t="s">
        <v>1071</v>
      </c>
    </row>
    <row r="55" spans="1:3">
      <c r="A55" s="124" t="s">
        <v>385</v>
      </c>
      <c r="B55" s="19" t="s">
        <v>1072</v>
      </c>
      <c r="C55" s="19" t="s">
        <v>1073</v>
      </c>
    </row>
    <row r="56" spans="1:3">
      <c r="A56" s="124" t="s">
        <v>385</v>
      </c>
      <c r="B56" s="19" t="s">
        <v>1074</v>
      </c>
      <c r="C56" s="19" t="s">
        <v>1075</v>
      </c>
    </row>
    <row r="57" spans="1:3">
      <c r="A57" s="124" t="s">
        <v>385</v>
      </c>
      <c r="B57" s="19" t="s">
        <v>1076</v>
      </c>
      <c r="C57" s="19" t="s">
        <v>1077</v>
      </c>
    </row>
    <row r="58" spans="1:3" ht="30">
      <c r="A58" s="124" t="s">
        <v>385</v>
      </c>
      <c r="B58" s="19" t="s">
        <v>1078</v>
      </c>
      <c r="C58" s="23" t="s">
        <v>1079</v>
      </c>
    </row>
    <row r="59" spans="1:3">
      <c r="A59" s="124" t="s">
        <v>385</v>
      </c>
      <c r="B59" s="19" t="s">
        <v>1080</v>
      </c>
      <c r="C59" s="19" t="s">
        <v>1081</v>
      </c>
    </row>
    <row r="60" spans="1:3">
      <c r="A60" s="124" t="s">
        <v>385</v>
      </c>
      <c r="B60" s="19" t="s">
        <v>1054</v>
      </c>
      <c r="C60" s="19" t="s">
        <v>1082</v>
      </c>
    </row>
    <row r="61" spans="1:3" ht="16.5">
      <c r="A61" s="19" t="s">
        <v>1083</v>
      </c>
      <c r="B61" s="125" t="s">
        <v>1084</v>
      </c>
      <c r="C61" s="125" t="s">
        <v>1085</v>
      </c>
    </row>
    <row r="62" spans="1:3" ht="16.5">
      <c r="A62" s="19" t="s">
        <v>1083</v>
      </c>
      <c r="B62" s="126" t="s">
        <v>1086</v>
      </c>
      <c r="C62" s="126" t="s">
        <v>1087</v>
      </c>
    </row>
    <row r="63" spans="1:3" ht="16.5">
      <c r="A63" s="19" t="s">
        <v>1083</v>
      </c>
      <c r="B63" s="126" t="s">
        <v>1088</v>
      </c>
      <c r="C63" s="126" t="s">
        <v>1089</v>
      </c>
    </row>
    <row r="64" spans="1:3" ht="16.5">
      <c r="A64" s="19" t="s">
        <v>1083</v>
      </c>
      <c r="B64" s="126" t="s">
        <v>1090</v>
      </c>
      <c r="C64" s="126" t="s">
        <v>1091</v>
      </c>
    </row>
    <row r="65" spans="1:3" ht="16.5">
      <c r="A65" s="19" t="s">
        <v>1083</v>
      </c>
      <c r="B65" s="126" t="s">
        <v>1092</v>
      </c>
      <c r="C65" s="126" t="s">
        <v>1093</v>
      </c>
    </row>
    <row r="66" spans="1:3" ht="16.5">
      <c r="A66" s="19" t="s">
        <v>1083</v>
      </c>
      <c r="B66" s="126" t="s">
        <v>1094</v>
      </c>
      <c r="C66" s="126" t="s">
        <v>1095</v>
      </c>
    </row>
    <row r="67" spans="1:3" ht="16.5">
      <c r="A67" s="19" t="s">
        <v>1083</v>
      </c>
      <c r="B67" s="126" t="s">
        <v>1096</v>
      </c>
      <c r="C67" s="126" t="s">
        <v>1097</v>
      </c>
    </row>
    <row r="68" spans="1:3" ht="16.5">
      <c r="A68" s="19" t="s">
        <v>1083</v>
      </c>
      <c r="B68" s="126" t="s">
        <v>1098</v>
      </c>
      <c r="C68" s="126" t="s">
        <v>1099</v>
      </c>
    </row>
    <row r="69" spans="1:3" ht="16.5">
      <c r="A69" s="19" t="s">
        <v>1083</v>
      </c>
      <c r="B69" s="126" t="s">
        <v>1100</v>
      </c>
      <c r="C69" s="126" t="s">
        <v>1101</v>
      </c>
    </row>
    <row r="70" spans="1:3" ht="16.5">
      <c r="A70" s="19" t="s">
        <v>1083</v>
      </c>
      <c r="B70" s="126" t="s">
        <v>1102</v>
      </c>
      <c r="C70" s="126" t="s">
        <v>1103</v>
      </c>
    </row>
    <row r="71" spans="1:3" ht="16.5">
      <c r="A71" s="19" t="s">
        <v>1083</v>
      </c>
      <c r="B71" s="126" t="s">
        <v>1104</v>
      </c>
      <c r="C71" s="126" t="s">
        <v>1105</v>
      </c>
    </row>
    <row r="72" spans="1:3" ht="16.5">
      <c r="A72" s="19" t="s">
        <v>1083</v>
      </c>
      <c r="B72" s="126" t="s">
        <v>1106</v>
      </c>
      <c r="C72" s="126" t="s">
        <v>1107</v>
      </c>
    </row>
    <row r="73" spans="1:3" ht="16.5">
      <c r="A73" s="19" t="s">
        <v>1083</v>
      </c>
      <c r="B73" s="126" t="s">
        <v>1108</v>
      </c>
      <c r="C73" s="126" t="s">
        <v>1109</v>
      </c>
    </row>
    <row r="74" spans="1:3" ht="16.5">
      <c r="A74" s="19" t="s">
        <v>1083</v>
      </c>
      <c r="B74" s="126" t="s">
        <v>1110</v>
      </c>
      <c r="C74" s="126" t="s">
        <v>1111</v>
      </c>
    </row>
    <row r="75" spans="1:3" ht="16.5">
      <c r="A75" s="19" t="s">
        <v>1083</v>
      </c>
      <c r="B75" s="126" t="s">
        <v>1112</v>
      </c>
      <c r="C75" s="126" t="s">
        <v>1113</v>
      </c>
    </row>
    <row r="76" spans="1:3" ht="16.5">
      <c r="A76" s="19" t="s">
        <v>1083</v>
      </c>
      <c r="B76" s="126" t="s">
        <v>1114</v>
      </c>
      <c r="C76" s="126" t="s">
        <v>1115</v>
      </c>
    </row>
    <row r="77" spans="1:3" ht="16.5">
      <c r="A77" s="19" t="s">
        <v>1083</v>
      </c>
      <c r="B77" s="126" t="s">
        <v>1116</v>
      </c>
      <c r="C77" s="126" t="s">
        <v>1117</v>
      </c>
    </row>
    <row r="78" spans="1:3" ht="16.5">
      <c r="A78" s="19" t="s">
        <v>1083</v>
      </c>
      <c r="B78" s="126" t="s">
        <v>1118</v>
      </c>
      <c r="C78" s="126" t="s">
        <v>1119</v>
      </c>
    </row>
    <row r="79" spans="1:3" ht="16.5">
      <c r="A79" s="19" t="s">
        <v>1083</v>
      </c>
      <c r="B79" s="126" t="s">
        <v>1120</v>
      </c>
      <c r="C79" s="126" t="s">
        <v>1121</v>
      </c>
    </row>
    <row r="80" spans="1:3" ht="16.5">
      <c r="A80" s="19" t="s">
        <v>1083</v>
      </c>
      <c r="B80" s="126" t="s">
        <v>1122</v>
      </c>
      <c r="C80" s="126" t="s">
        <v>1123</v>
      </c>
    </row>
    <row r="81" spans="1:3" ht="16.5">
      <c r="A81" s="19" t="s">
        <v>1083</v>
      </c>
      <c r="B81" s="126" t="s">
        <v>1124</v>
      </c>
      <c r="C81" s="126" t="s">
        <v>1125</v>
      </c>
    </row>
    <row r="82" spans="1:3" ht="16.5">
      <c r="A82" s="19" t="s">
        <v>1083</v>
      </c>
      <c r="B82" s="126" t="s">
        <v>1126</v>
      </c>
      <c r="C82" s="126" t="s">
        <v>1127</v>
      </c>
    </row>
    <row r="83" spans="1:3" ht="16.5">
      <c r="A83" s="19" t="s">
        <v>1083</v>
      </c>
      <c r="B83" s="126" t="s">
        <v>1128</v>
      </c>
      <c r="C83" s="126" t="s">
        <v>1129</v>
      </c>
    </row>
    <row r="84" spans="1:3" ht="16.5">
      <c r="A84" s="19" t="s">
        <v>1130</v>
      </c>
      <c r="B84" s="126" t="s">
        <v>1131</v>
      </c>
      <c r="C84" s="126" t="s">
        <v>1105</v>
      </c>
    </row>
    <row r="85" spans="1:3" ht="16.5">
      <c r="A85" s="19" t="s">
        <v>1130</v>
      </c>
      <c r="B85" s="126" t="s">
        <v>1132</v>
      </c>
      <c r="C85" s="126" t="s">
        <v>1133</v>
      </c>
    </row>
    <row r="86" spans="1:3" ht="33">
      <c r="A86" s="19" t="s">
        <v>1130</v>
      </c>
      <c r="B86" s="126" t="s">
        <v>1134</v>
      </c>
      <c r="C86" s="126" t="s">
        <v>1135</v>
      </c>
    </row>
    <row r="87" spans="1:3" ht="49.5">
      <c r="A87" s="19" t="s">
        <v>1130</v>
      </c>
      <c r="B87" s="126" t="s">
        <v>1136</v>
      </c>
      <c r="C87" s="126" t="s">
        <v>1137</v>
      </c>
    </row>
    <row r="88" spans="1:3" ht="33">
      <c r="A88" s="19" t="s">
        <v>1130</v>
      </c>
      <c r="B88" s="126" t="s">
        <v>1138</v>
      </c>
      <c r="C88" s="126" t="s">
        <v>1107</v>
      </c>
    </row>
    <row r="89" spans="1:3" ht="16.5">
      <c r="A89" s="19" t="s">
        <v>1130</v>
      </c>
      <c r="B89" s="126" t="s">
        <v>1139</v>
      </c>
      <c r="C89" s="126" t="s">
        <v>1140</v>
      </c>
    </row>
    <row r="90" spans="1:3" ht="16.5">
      <c r="A90" s="19" t="s">
        <v>1130</v>
      </c>
      <c r="B90" s="126" t="s">
        <v>1141</v>
      </c>
      <c r="C90" s="126" t="s">
        <v>1142</v>
      </c>
    </row>
    <row r="91" spans="1:3" ht="16.5">
      <c r="A91" s="19" t="s">
        <v>1143</v>
      </c>
      <c r="B91" s="126" t="s">
        <v>1144</v>
      </c>
      <c r="C91" s="126" t="s">
        <v>1105</v>
      </c>
    </row>
    <row r="92" spans="1:3" ht="33">
      <c r="A92" s="19" t="s">
        <v>1143</v>
      </c>
      <c r="B92" s="126" t="s">
        <v>1134</v>
      </c>
      <c r="C92" s="126" t="s">
        <v>1135</v>
      </c>
    </row>
    <row r="93" spans="1:3" ht="16.5">
      <c r="A93" s="19" t="s">
        <v>1143</v>
      </c>
      <c r="B93" s="126" t="s">
        <v>313</v>
      </c>
      <c r="C93" s="126" t="s">
        <v>1085</v>
      </c>
    </row>
    <row r="94" spans="1:3" ht="16.5">
      <c r="A94" s="19" t="s">
        <v>1143</v>
      </c>
      <c r="B94" s="126" t="s">
        <v>810</v>
      </c>
      <c r="C94" s="126" t="s">
        <v>1145</v>
      </c>
    </row>
    <row r="95" spans="1:3" ht="16.5">
      <c r="A95" s="19" t="s">
        <v>1143</v>
      </c>
      <c r="B95" s="126" t="s">
        <v>1146</v>
      </c>
      <c r="C95" s="126" t="s">
        <v>1089</v>
      </c>
    </row>
    <row r="96" spans="1:3" ht="16.5">
      <c r="A96" s="19" t="s">
        <v>1143</v>
      </c>
      <c r="B96" s="126" t="s">
        <v>1147</v>
      </c>
      <c r="C96" s="126" t="s">
        <v>1091</v>
      </c>
    </row>
    <row r="97" spans="1:3" ht="16.5">
      <c r="A97" s="19" t="s">
        <v>1143</v>
      </c>
      <c r="B97" s="126" t="s">
        <v>1148</v>
      </c>
      <c r="C97" s="126" t="s">
        <v>1093</v>
      </c>
    </row>
    <row r="98" spans="1:3" ht="16.5">
      <c r="A98" s="19" t="s">
        <v>1143</v>
      </c>
      <c r="B98" s="126" t="s">
        <v>1149</v>
      </c>
      <c r="C98" s="126" t="s">
        <v>1127</v>
      </c>
    </row>
    <row r="99" spans="1:3" ht="16.5">
      <c r="A99" s="19" t="s">
        <v>1143</v>
      </c>
      <c r="B99" s="126" t="s">
        <v>1150</v>
      </c>
      <c r="C99" s="126" t="s">
        <v>1151</v>
      </c>
    </row>
    <row r="100" spans="1:3" ht="16.5">
      <c r="A100" s="19" t="s">
        <v>1143</v>
      </c>
      <c r="B100" s="126" t="s">
        <v>1152</v>
      </c>
      <c r="C100" s="126" t="s">
        <v>1123</v>
      </c>
    </row>
    <row r="101" spans="1:3" ht="16.5">
      <c r="A101" s="19" t="s">
        <v>1143</v>
      </c>
      <c r="B101" s="126" t="s">
        <v>1139</v>
      </c>
      <c r="C101" s="126" t="s">
        <v>1153</v>
      </c>
    </row>
    <row r="102" spans="1:3" ht="16.5">
      <c r="A102" s="19" t="s">
        <v>1143</v>
      </c>
      <c r="B102" s="126" t="s">
        <v>1154</v>
      </c>
      <c r="C102" s="126" t="s">
        <v>1155</v>
      </c>
    </row>
    <row r="103" spans="1:3" ht="16.5">
      <c r="A103" s="19" t="s">
        <v>1143</v>
      </c>
      <c r="B103" s="126" t="s">
        <v>1156</v>
      </c>
      <c r="C103" s="126" t="s">
        <v>1157</v>
      </c>
    </row>
    <row r="104" spans="1:3" ht="16.5">
      <c r="A104" s="19" t="s">
        <v>1143</v>
      </c>
      <c r="B104" s="126" t="s">
        <v>1158</v>
      </c>
      <c r="C104" s="126" t="s">
        <v>1097</v>
      </c>
    </row>
    <row r="105" spans="1:3" ht="16.5">
      <c r="A105" s="19" t="s">
        <v>1143</v>
      </c>
      <c r="B105" s="126" t="s">
        <v>1159</v>
      </c>
      <c r="C105" s="126" t="s">
        <v>1160</v>
      </c>
    </row>
    <row r="107" spans="1:3">
      <c r="A107" s="7" t="s">
        <v>1161</v>
      </c>
    </row>
    <row r="109" spans="1:3">
      <c r="A109" s="7" t="s">
        <v>1162</v>
      </c>
    </row>
    <row r="111" spans="1:3">
      <c r="A111" s="7" t="s">
        <v>268</v>
      </c>
    </row>
    <row r="112" spans="1:3" ht="16.5">
      <c r="A112" s="7" t="s">
        <v>267</v>
      </c>
      <c r="B112" s="127"/>
    </row>
    <row r="113" spans="1:2" ht="16.5">
      <c r="A113" s="7" t="s">
        <v>1163</v>
      </c>
      <c r="B113" s="127"/>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s>
  <pageMargins left="0.7" right="0.7" top="0.75" bottom="0.75" header="0.3" footer="0.3"/>
  <pageSetup paperSize="9" orientation="portrait" verticalDpi="0" r:id="rId6"/>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378</v>
      </c>
      <c r="B1" s="25" t="s">
        <v>380</v>
      </c>
      <c r="C1" s="25" t="s">
        <v>381</v>
      </c>
      <c r="D1" s="25" t="s">
        <v>392</v>
      </c>
    </row>
    <row r="2" spans="1:4">
      <c r="A2" s="202" t="s">
        <v>379</v>
      </c>
      <c r="B2" s="57" t="s">
        <v>382</v>
      </c>
      <c r="C2" s="57" t="s">
        <v>383</v>
      </c>
      <c r="D2" s="58" t="s">
        <v>399</v>
      </c>
    </row>
    <row r="3" spans="1:4">
      <c r="A3" s="202"/>
      <c r="B3" s="20" t="s">
        <v>262</v>
      </c>
      <c r="C3" s="20" t="s">
        <v>384</v>
      </c>
      <c r="D3" s="19" t="s">
        <v>399</v>
      </c>
    </row>
    <row r="4" spans="1:4">
      <c r="A4" s="202"/>
      <c r="B4" s="20" t="s">
        <v>385</v>
      </c>
      <c r="C4" s="20" t="s">
        <v>386</v>
      </c>
      <c r="D4" s="19" t="s">
        <v>400</v>
      </c>
    </row>
    <row r="5" spans="1:4">
      <c r="A5" s="202"/>
      <c r="B5" s="57" t="s">
        <v>544</v>
      </c>
      <c r="C5" s="57" t="s">
        <v>387</v>
      </c>
      <c r="D5" s="58" t="s">
        <v>400</v>
      </c>
    </row>
    <row r="6" spans="1:4">
      <c r="A6" s="202"/>
      <c r="B6" s="20" t="s">
        <v>388</v>
      </c>
      <c r="C6" s="20" t="s">
        <v>389</v>
      </c>
      <c r="D6" s="19" t="s">
        <v>401</v>
      </c>
    </row>
    <row r="7" spans="1:4">
      <c r="A7" s="202"/>
      <c r="B7" s="20" t="s">
        <v>390</v>
      </c>
      <c r="C7" s="20" t="s">
        <v>393</v>
      </c>
      <c r="D7" s="19" t="s">
        <v>391</v>
      </c>
    </row>
    <row r="9" spans="1:4">
      <c r="A9" s="25" t="s">
        <v>276</v>
      </c>
      <c r="B9" s="25" t="s">
        <v>402</v>
      </c>
    </row>
    <row r="10" spans="1:4">
      <c r="A10" s="20">
        <v>1</v>
      </c>
      <c r="B10" s="19" t="s">
        <v>277</v>
      </c>
    </row>
    <row r="11" spans="1:4">
      <c r="A11" s="20">
        <v>2</v>
      </c>
      <c r="B11" s="19" t="s">
        <v>278</v>
      </c>
    </row>
    <row r="12" spans="1:4">
      <c r="A12" s="20">
        <v>3</v>
      </c>
      <c r="B12" s="19" t="s">
        <v>398</v>
      </c>
    </row>
    <row r="13" spans="1:4">
      <c r="A13" s="20">
        <v>3</v>
      </c>
      <c r="B13" s="19" t="s">
        <v>279</v>
      </c>
    </row>
    <row r="14" spans="1:4">
      <c r="A14" s="20">
        <v>4</v>
      </c>
      <c r="B14" s="19" t="s">
        <v>397</v>
      </c>
    </row>
    <row r="15" spans="1:4">
      <c r="A15" s="20">
        <v>5</v>
      </c>
      <c r="B15" s="19" t="s">
        <v>280</v>
      </c>
    </row>
    <row r="17" spans="1:2">
      <c r="A17" t="s">
        <v>281</v>
      </c>
    </row>
    <row r="18" spans="1:2">
      <c r="A18" t="s">
        <v>282</v>
      </c>
    </row>
    <row r="19" spans="1:2">
      <c r="A19" t="s">
        <v>283</v>
      </c>
      <c r="B19" t="s">
        <v>403</v>
      </c>
    </row>
    <row r="20" spans="1:2">
      <c r="A20" t="s">
        <v>284</v>
      </c>
    </row>
  </sheetData>
  <mergeCells count="1">
    <mergeCell ref="A2:A7"/>
  </mergeCells>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6"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A27" sqref="A27"/>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22</vt:i4>
      </vt:variant>
      <vt:variant>
        <vt:lpstr>이름 지정된 범위</vt:lpstr>
      </vt:variant>
      <vt:variant>
        <vt:i4>1</vt:i4>
      </vt:variant>
    </vt:vector>
  </HeadingPairs>
  <TitlesOfParts>
    <vt:vector size="23"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Pilot</vt:lpstr>
      <vt:lpstr>아키텍처</vt:lpstr>
      <vt:lpstr>기능요건</vt:lpstr>
      <vt:lpstr>기능요건_피드백</vt:lpstr>
      <vt:lpstr>비기능요건</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2020-09-02T22:31:05Z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