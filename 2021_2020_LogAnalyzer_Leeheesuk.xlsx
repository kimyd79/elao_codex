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filterPrivacy="1" defaultThemeVersion="124226"/>
  <xr:revisionPtr revIDLastSave="0" documentId="13_ncr:1_{01CD195D-51DA-48BE-8383-D388B6982893}" xr6:coauthVersionLast="47" xr6:coauthVersionMax="47" xr10:uidLastSave="{00000000-0000-0000-0000-000000000000}"/>
  <bookViews>
    <workbookView xWindow="405" yWindow="885" windowWidth="24810" windowHeight="11505" firstSheet="6" activeTab="21" xr2:uid="{00000000-000D-0000-FFFF-FFFF00000000}"/>
  </bookViews>
  <sheets>
    <sheet name="UI" sheetId="7" r:id="rId1"/>
    <sheet name="UI_0401피드백" sheetId="13" r:id="rId2"/>
    <sheet name="UI_Initialization" sheetId="19" r:id="rId3"/>
    <sheet name="UI_Detail" sheetId="17" r:id="rId4"/>
    <sheet name="UI_LogFormat" sheetId="20" r:id="rId5"/>
    <sheet name="UI_Chart" sheetId="18" r:id="rId6"/>
    <sheet name="UI_Spinner_Progress" sheetId="23" r:id="rId7"/>
    <sheet name="Table" sheetId="10" r:id="rId8"/>
    <sheet name="Table_0408" sheetId="15" r:id="rId9"/>
    <sheet name="Table_0619_0429" sheetId="16" r:id="rId10"/>
    <sheet name="Table_2021" sheetId="26" r:id="rId11"/>
    <sheet name="log4j Format" sheetId="27" r:id="rId12"/>
    <sheet name="Pilot" sheetId="11" r:id="rId13"/>
    <sheet name="아키텍처" sheetId="9" r:id="rId14"/>
    <sheet name="기능요건" sheetId="8" r:id="rId15"/>
    <sheet name="추가기능_베타서비스포함_TODO" sheetId="24" r:id="rId16"/>
    <sheet name="기능요건_피드백" sheetId="14" r:id="rId17"/>
    <sheet name="비기능요건" sheetId="6" r:id="rId18"/>
    <sheet name="배포정리_TODO" sheetId="25" r:id="rId19"/>
    <sheet name="성능테스트_0717" sheetId="22" r:id="rId20"/>
    <sheet name="지원포맷" sheetId="1" r:id="rId21"/>
    <sheet name="로그로맷 항목설명" sheetId="21" r:id="rId22"/>
    <sheet name="고려사항" sheetId="5" r:id="rId23"/>
    <sheet name="기능 - AWStats" sheetId="2" r:id="rId24"/>
    <sheet name="기능 - apachelogviewer" sheetId="4" r:id="rId25"/>
    <sheet name="기능 - goaccess" sheetId="3" r:id="rId26"/>
  </sheets>
  <definedNames>
    <definedName name="_xlnm.Print_Area" localSheetId="14">기능요건!$A$1:$M$46</definedName>
  </definedNames>
  <calcPr calcId="181029"/>
</workbook>
</file>

<file path=xl/calcChain.xml><?xml version="1.0" encoding="utf-8"?>
<calcChain xmlns="http://schemas.openxmlformats.org/spreadsheetml/2006/main">
  <c r="I49" i="8" l="1"/>
  <c r="I48" i="8"/>
  <c r="I50" i="8" l="1"/>
  <c r="J49" i="8" s="1"/>
  <c r="J48" i="8" l="1"/>
</calcChain>
</file>

<file path=xl/sharedStrings.xml><?xml version="1.0" encoding="utf-8"?>
<sst xmlns="http://schemas.openxmlformats.org/spreadsheetml/2006/main" count="2718" uniqueCount="1495">
  <si>
    <t>구분</t>
    <phoneticPr fontId="1" type="noConversion"/>
  </si>
  <si>
    <t>Apache common (CLF) log format</t>
    <phoneticPr fontId="1" type="noConversion"/>
  </si>
  <si>
    <t>Apache combined (XLF/ELF)</t>
    <phoneticPr fontId="1" type="noConversion"/>
  </si>
  <si>
    <t>personalized log format</t>
    <phoneticPr fontId="1" type="noConversion"/>
  </si>
  <si>
    <t>tomcat log format</t>
    <phoneticPr fontId="1" type="noConversion"/>
  </si>
  <si>
    <t>Features</t>
    <phoneticPr fontId="1" type="noConversion"/>
  </si>
  <si>
    <t>IIS (W3C) log format</t>
    <phoneticPr fontId="1" type="noConversion"/>
  </si>
  <si>
    <t>* Number of Visits, and number of Unique visitors.</t>
  </si>
  <si>
    <t>* Visit duration and latest visits.</t>
  </si>
  <si>
    <t>* Authenticated Users, and latest authenticated visits.</t>
  </si>
  <si>
    <t>* Usage by Months, Days of week and Hours of the day (pages, hits, KB).</t>
  </si>
  <si>
    <t>* Domains/countries (and regions, cities and ISP with Maxmind proprietary geo databases) of visitor's hosts (pages, hits, KB, 269 domains/countries detected).</t>
  </si>
  <si>
    <t>* Hosts list, latest visits and unresolved IP addresses list.</t>
  </si>
  <si>
    <t>* Most viewed, Entry and Exit pages.</t>
  </si>
  <si>
    <t>* Most commonly requested File types.</t>
  </si>
  <si>
    <t>* Web Compression statistics (for Apache servers using mod_gzip or mod_deflate modules).</t>
  </si>
  <si>
    <t>* Visitor's Browsers (pages, hits, KB for each browser, each version, 123 browsers detected: Web, Wap, Streaming Media browsers..., around 482 with the "phone browsers" database).</t>
  </si>
  <si>
    <t>* Visitor's Operating Systems (pages, hits, KB for each OS, 45 OS detected).</t>
  </si>
  <si>
    <t>* Robots visits, including search engine crawlers (381 robots detected).</t>
  </si>
  <si>
    <t>* Track Downloads such as PDFs, compressed files and others</t>
  </si>
  <si>
    <t>* Search engines, Keywords and Phrases used to find your site (The 122 most famous search engines are detected like Yahoo, Google, Altavista, etc...)</t>
  </si>
  <si>
    <t>* HTTP Errors (Page Not Found with latest referrer, ...).</t>
  </si>
  <si>
    <t>* User defined reports based on url, url parameters, referrer (referer) fields extend AWStats' capabilities to provide even greater technical and marketing information.</t>
  </si>
  <si>
    <t>* Number of times your site is added to Bookmarks / Favorites.</t>
  </si>
  <si>
    <t>* Screen size (to capture this, some HTML tags must be added to a site's home page).</t>
  </si>
  <si>
    <t>* Ratio of integrated Browser Support for: Java, Flash, Real G2 player, Quicktime reader, PDF reader, WMA reader (as above, requires insertion of HTML tags in site's home page).</t>
  </si>
  <si>
    <t>* Cluster distribution for load balanced servers.</t>
  </si>
  <si>
    <t>* Reports can be run from the operating system command line and from a web browser as a CGI (common gateway interface).  In CGI mode, dynamic filter capabilities are available for many charts.</t>
  </si>
  <si>
    <t>* Statistics update can be run from a web browser as well as scheduled for automatic processing.</t>
  </si>
  <si>
    <t>* Unlimited log file size</t>
  </si>
  <si>
    <t>* Load balancing system split log files.</t>
  </si>
  <si>
    <t>* Support 'nearly sorted' log files, even for entry and exit pages.</t>
  </si>
  <si>
    <t>* Reverse DNS lookup before or during analysis; supports DNS cache files.</t>
  </si>
  <si>
    <t>* Country detection from IP location (geoip) or domain name.</t>
  </si>
  <si>
    <t>* WhoIS lookup links.</t>
  </si>
  <si>
    <t>* Vast array of configurable options/filters and plugins supported.</t>
  </si>
  <si>
    <t>* Modular design supports inclusion of addition features via plugins.</t>
  </si>
  <si>
    <t>* Multi-named web sites supported (virtual servers, great for web-hosting providers).</t>
  </si>
  <si>
    <t>* Cross Site Scripting Attacks protection.</t>
  </si>
  <si>
    <t>* No need for esoteric perl libraries. AWStats works with all basic perl interpreters.</t>
  </si>
  <si>
    <t>* Dynamic reports through a CGI interface.</t>
  </si>
  <si>
    <t>* Static reports in one or framed HTML or XHTML pages; experimental PDF export through 3rd party "htmldoc" software.</t>
  </si>
  <si>
    <t>* Customize look and color scheme to match your site design; with or without CSS (cascading style sheets).</t>
  </si>
  <si>
    <t>* Help and HTML tooltips available in reports.</t>
  </si>
  <si>
    <t>* Easy to use - all configuration directives are confined to one file for each site.</t>
  </si>
  <si>
    <t>* Analysis database can be stored in XML format for easier use by external applications, like XSLT processing (one xslt transform example provided).</t>
  </si>
  <si>
    <t>* A Webmin module is supplied.</t>
  </si>
  <si>
    <t>* Works on all platforms with Perl support.</t>
  </si>
  <si>
    <t>* Wide range of log formats.  AWStats can analyze: Apache NCSA combined (XLF/ELF) or common (CLF) log files, Microsoft IIS log files (W3C), WebStar native log files and other web, proxy, wap, streaming media, ftp and mail server log files. See AWStats F.A.Q. for examples.</t>
  </si>
  <si>
    <t>* Plugins for US/Canadian Regions, Cities and major countries regions, ISP and/or Organizations reports (require non free third product geoipregion, geoipcity, geoipisp and/or geoiporg database).</t>
  </si>
  <si>
    <t>* Reports available in many international languages. See AWStats F.A.Q. for full list.  Users can provide files for additional languages not yet available.</t>
  </si>
  <si>
    <t>* Absolutely free (even for web hosting providers); source code is included (GNU General Public License).</t>
  </si>
  <si>
    <t>* AWStats has a XML Portable Application Description.</t>
  </si>
  <si>
    <r>
      <t>In addition, AWStats provides the following</t>
    </r>
    <r>
      <rPr>
        <sz val="11"/>
        <color rgb="FFFF0000"/>
        <rFont val="Arial"/>
        <family val="2"/>
      </rPr>
      <t>:</t>
    </r>
  </si>
  <si>
    <t>비기능</t>
    <phoneticPr fontId="1" type="noConversion"/>
  </si>
  <si>
    <t>고급기능</t>
    <phoneticPr fontId="1" type="noConversion"/>
  </si>
  <si>
    <t>Report</t>
    <phoneticPr fontId="1" type="noConversion"/>
  </si>
  <si>
    <t>Top IP Hits per Day</t>
  </si>
  <si>
    <t>Stacked Column</t>
  </si>
  <si>
    <t>Top IP Addresses per day</t>
  </si>
  <si>
    <t>Top Error IP Hits per Day</t>
  </si>
  <si>
    <t>Top IP Addresses resulting in 4xx status codes per day</t>
  </si>
  <si>
    <t>IP Hits per Day</t>
  </si>
  <si>
    <t>Particular IP Addresses requesting requests per day</t>
  </si>
  <si>
    <t>Top Requests per Day</t>
  </si>
  <si>
    <t>Shows which requests are the most requested (popular)</t>
  </si>
  <si>
    <t>Top Error Requests per Day</t>
  </si>
  <si>
    <t>Shows which requests result in 4xx status codes</t>
  </si>
  <si>
    <t>Requests per Day</t>
  </si>
  <si>
    <t>Shows number of fetches for a set of requests</t>
  </si>
  <si>
    <t>Search Terms per Day</t>
  </si>
  <si>
    <t>Shows terms that have been used in search terms per day</t>
  </si>
  <si>
    <t>Status Codes per Day</t>
  </si>
  <si>
    <t>Shows number of status codes per day</t>
  </si>
  <si>
    <t>Bandwidth by Type</t>
  </si>
  <si>
    <t>Shows bandwidth count for particular file types on a per day basis</t>
  </si>
  <si>
    <t>File Types per Day</t>
  </si>
  <si>
    <t>Shows total hits for specific file types on specific days</t>
  </si>
  <si>
    <t>Referrers per Day</t>
  </si>
  <si>
    <t>Shows refererrs on a per day basis</t>
  </si>
  <si>
    <t>User Agent</t>
  </si>
  <si>
    <t>Pie</t>
  </si>
  <si>
    <t>Hits from a particular User Agent</t>
  </si>
  <si>
    <t>Desktop Browser (hits)</t>
  </si>
  <si>
    <t>Hits originating from desktop browsers</t>
  </si>
  <si>
    <t>Mobile Browser (hits)</t>
  </si>
  <si>
    <t>Hits originating from mobile browsers</t>
  </si>
  <si>
    <t>By Request (hits)</t>
  </si>
  <si>
    <t>Hits from a particular browser requesting a specific request</t>
  </si>
  <si>
    <t>By Country (hits)</t>
  </si>
  <si>
    <t>Hits from a particular browser originating for a specific country</t>
  </si>
  <si>
    <t>Visits by Country</t>
  </si>
  <si>
    <t>Hits and the originating country</t>
  </si>
  <si>
    <t>Visits by Country (Reduced)</t>
  </si>
  <si>
    <t>Similar as Visits by Country but only displays a selection of the top countries</t>
  </si>
  <si>
    <t>Visits by Region</t>
  </si>
  <si>
    <t>Hits and the originating region - North America, South America, Europe, Africa, Asia &amp; Pacific</t>
  </si>
  <si>
    <t>Desktop Browsers</t>
  </si>
  <si>
    <t>Unique hits originating from the traditional desktop browsers</t>
  </si>
  <si>
    <t>Mobile Browsers</t>
  </si>
  <si>
    <t>Unique hits originating from mobile browsers</t>
  </si>
  <si>
    <t>Desktop vs Mobile</t>
  </si>
  <si>
    <t>Unique hits showing total traditional desktop vs mobile browser</t>
  </si>
  <si>
    <t>By Request</t>
  </si>
  <si>
    <t>Unique hits from a particular browser requesting a specific request</t>
  </si>
  <si>
    <t>By Country</t>
  </si>
  <si>
    <t>Unique hits from a particular browser originating for a specific country</t>
  </si>
  <si>
    <t>Request Analysis</t>
  </si>
  <si>
    <t>Shows which parts of the website were accessed and by what percentage.</t>
  </si>
  <si>
    <t>Traffic Sources</t>
  </si>
  <si>
    <t>Shows referrer source i.e. Direct, Referrer or Search Engine</t>
  </si>
  <si>
    <t>Status Code</t>
  </si>
  <si>
    <t>Shows percentage of status codes</t>
  </si>
  <si>
    <t>Operating System</t>
  </si>
  <si>
    <t>Shows percentage of each operating system used to visit</t>
  </si>
  <si>
    <t>Geo Country Visits</t>
  </si>
  <si>
    <t>Map</t>
  </si>
  <si>
    <t>Shows graphical map with intensity of visits</t>
  </si>
  <si>
    <t>Geo Country Visits (start date)</t>
  </si>
  <si>
    <t>Shows graphical map with intensity of visits but after a specific date</t>
  </si>
  <si>
    <t>Bandwidth</t>
  </si>
  <si>
    <t>Line</t>
  </si>
  <si>
    <t>Shows total bandwidth used to serve hits</t>
  </si>
  <si>
    <t>Hits Each Day</t>
  </si>
  <si>
    <t>Column</t>
  </si>
  <si>
    <t>Hits per day</t>
  </si>
  <si>
    <t>Visits by IP</t>
  </si>
  <si>
    <t>Hits from a particular IP Address</t>
  </si>
  <si>
    <t>Visits by Referrer</t>
  </si>
  <si>
    <t>Hits originating from a particular referrer</t>
  </si>
  <si>
    <t>Visits by Request</t>
  </si>
  <si>
    <t>Hits originating for a particular request</t>
  </si>
  <si>
    <t>Visits from Country</t>
  </si>
  <si>
    <t>Hits originating from a particular country</t>
  </si>
  <si>
    <t>Visits by UserAgent</t>
  </si>
  <si>
    <t>Hits originating from a particular user agent</t>
  </si>
  <si>
    <t>Visits by User</t>
  </si>
  <si>
    <t>Hits originating from a particular user</t>
  </si>
  <si>
    <t>Unique Hits</t>
  </si>
  <si>
    <t>Unique hits per day</t>
  </si>
  <si>
    <t>Unique Hits (Bots Excluded)</t>
  </si>
  <si>
    <t>Unique hits per day but excluding bots</t>
  </si>
  <si>
    <t>Unique Hits (start date)</t>
  </si>
  <si>
    <t>Unique hits per day but only from a particular date onwards</t>
  </si>
  <si>
    <t>Unique hits from a particular IP Address</t>
  </si>
  <si>
    <t>Unique hits from a particular referrer</t>
  </si>
  <si>
    <t>Unique hits for a particular request</t>
  </si>
  <si>
    <t>Unique hits from a particular country</t>
  </si>
  <si>
    <t>Unique hits from a particular user agent</t>
  </si>
  <si>
    <t>Visits by IP &amp; Request</t>
  </si>
  <si>
    <t>Unique hits from a particular IP Address for a particular request</t>
  </si>
  <si>
    <t>Visits by Request &amp; UserAgent</t>
  </si>
  <si>
    <t>Unique hits from a particular request and a particular user agent</t>
  </si>
  <si>
    <t>Visits by Country &amp; Request</t>
  </si>
  <si>
    <t>Unique hits from a particular country and for a particular request</t>
  </si>
  <si>
    <t>Unique hits from a particular user</t>
  </si>
  <si>
    <t>Any</t>
  </si>
  <si>
    <t>Hits per Hour for a particular day</t>
  </si>
  <si>
    <t>From IP</t>
  </si>
  <si>
    <t>Hits per Hour from a particular IP Address</t>
  </si>
  <si>
    <t>From User</t>
  </si>
  <si>
    <t>Hits from a particular user</t>
  </si>
  <si>
    <t>For Request</t>
  </si>
  <si>
    <t>Hits per Hour for a particular request in a particular day</t>
  </si>
  <si>
    <t>For Request (substring)</t>
  </si>
  <si>
    <t>Similar as above but takes part of the request</t>
  </si>
  <si>
    <t>Hits each Month</t>
  </si>
  <si>
    <t>Number of hits in a particular month</t>
  </si>
  <si>
    <t>Hits each Week</t>
  </si>
  <si>
    <t>Number of hits aggregated per week</t>
  </si>
  <si>
    <t>Bot Hits</t>
  </si>
  <si>
    <t>Hits from Bots</t>
  </si>
  <si>
    <t>IPv6 per Day</t>
  </si>
  <si>
    <t>Hits from an IP version 6 address</t>
  </si>
  <si>
    <t>IPv6 per Day (Unique)</t>
  </si>
  <si>
    <t>Unique hits from an IP version 6 address</t>
  </si>
  <si>
    <t>Search Visits</t>
  </si>
  <si>
    <t>Shows request that came from search visits</t>
  </si>
  <si>
    <t>Spider Visits</t>
  </si>
  <si>
    <t>Shows number of visits from spider bots</t>
  </si>
  <si>
    <t>Users per Day</t>
  </si>
  <si>
    <t>Total users visited per day</t>
  </si>
  <si>
    <t>Users and Average TimeTaken</t>
  </si>
  <si>
    <t>Users visited and the average time taken for each request</t>
  </si>
  <si>
    <t>Requests &amp; Average TimeTaken</t>
  </si>
  <si>
    <t>Supports Common/Combined/Custom and additional Apache/nginx logs.</t>
  </si>
  <si>
    <t>Supports NCSA/W3C IIS logs</t>
  </si>
  <si>
    <t>Handles multiple logs</t>
  </si>
  <si>
    <t>Supports compressed .gz logs</t>
  </si>
  <si>
    <t>Supports IPv4 &amp; IPv6</t>
  </si>
  <si>
    <t>Split logs functionality by size/date</t>
  </si>
  <si>
    <t>Monitor logs in realtime (with automatic refresh) both local and remove via FTP/SFTP</t>
  </si>
  <si>
    <t>Highlight requests by status code</t>
  </si>
  <si>
    <t>Converts IP &amp; IPv6 to Country</t>
  </si>
  <si>
    <t>Search by any combination of Request, Date, IP, Referrer and UserAgent</t>
  </si>
  <si>
    <t>Filter by any combination of Status/IP Address, GET, HEAD, POST Requests, Date, Referrer or User-agent</t>
  </si>
  <si>
    <t>Export to text file (txt), comma separated value (csv), log file or html</t>
  </si>
  <si>
    <t>Statistics</t>
  </si>
  <si>
    <t>Total Hits (by days)</t>
  </si>
  <si>
    <t>Status Codes (by days)</t>
  </si>
  <si>
    <t>Bandwidth (by days)</t>
  </si>
  <si>
    <t>Top IP Addresses *</t>
  </si>
  <si>
    <t>Top Requests *</t>
  </si>
  <si>
    <t>Top Countries *</t>
  </si>
  <si>
    <t>Top 404 URLs *</t>
  </si>
  <si>
    <t>Top Referers *</t>
  </si>
  <si>
    <t>Top User Agents *</t>
  </si>
  <si>
    <t>Bot IP Addresses *</t>
  </si>
  <si>
    <t>Country IP Addresses *</t>
  </si>
  <si>
    <t>File Types *</t>
  </si>
  <si>
    <t>Referrer Visits *</t>
  </si>
  <si>
    <t>Referrer Hotlinking *</t>
  </si>
  <si>
    <t>Search Terms *</t>
  </si>
  <si>
    <t>Visits Count *</t>
  </si>
  <si>
    <t>General Statistics</t>
  </si>
  <si>
    <t>Requested files</t>
  </si>
  <si>
    <t>Requested static files</t>
  </si>
  <si>
    <t>404 or Not Found</t>
  </si>
  <si>
    <t>Hosts</t>
    <phoneticPr fontId="1" type="noConversion"/>
  </si>
  <si>
    <t>Operating Systems</t>
  </si>
  <si>
    <t>Browsers</t>
  </si>
  <si>
    <t>Visit Times</t>
  </si>
  <si>
    <t>Virtual Hosts</t>
  </si>
  <si>
    <t>Referrers URLs</t>
  </si>
  <si>
    <t>Referring Sites</t>
  </si>
  <si>
    <t>Keyphrases</t>
  </si>
  <si>
    <t>Geo Location</t>
  </si>
  <si>
    <t>HTTP Status Codes</t>
  </si>
  <si>
    <t>Features - Panel로 구분</t>
    <phoneticPr fontId="1" type="noConversion"/>
  </si>
  <si>
    <t>Unique visitors:</t>
    <phoneticPr fontId="1" type="noConversion"/>
  </si>
  <si>
    <t>number of valid and invalid requests</t>
  </si>
  <si>
    <t>time taken to analyze the data set, unique visitors, requested files, static files (CSS, ICO, JPG, etc) HTTP referrers, 404s</t>
  </si>
  <si>
    <t>size of the parsed log file and bandwidth con‐ sumption.</t>
  </si>
  <si>
    <t> hits, unique visitors and cumulative bandwidth per date</t>
  </si>
  <si>
    <t>HTTP requests containing the same IP, the same date</t>
  </si>
  <si>
    <t> the same user agent are considered a unique visitor</t>
  </si>
  <si>
    <t>date specificity can be set to the hour</t>
  </si>
  <si>
    <t>특정 시간레벨로 정렬</t>
    <phoneticPr fontId="1" type="noConversion"/>
  </si>
  <si>
    <t>most highly requested (non-static/static) files</t>
    <phoneticPr fontId="1" type="noConversion"/>
  </si>
  <si>
    <t>hits, unique visitors, and percentage, along with the cumulative bandwidth, protocol, and the request method used</t>
  </si>
  <si>
    <r>
      <t>static files such as: </t>
    </r>
    <r>
      <rPr>
        <sz val="11"/>
        <color rgb="FFC7254E"/>
        <rFont val="Consolas"/>
        <family val="3"/>
      </rPr>
      <t>JPG</t>
    </r>
    <r>
      <rPr>
        <sz val="12"/>
        <color rgb="FF333333"/>
        <rFont val="Arial"/>
        <family val="2"/>
      </rPr>
      <t>, </t>
    </r>
    <r>
      <rPr>
        <sz val="11"/>
        <color rgb="FFC7254E"/>
        <rFont val="Consolas"/>
        <family val="3"/>
      </rPr>
      <t>CSS</t>
    </r>
    <r>
      <rPr>
        <sz val="12"/>
        <color rgb="FF333333"/>
        <rFont val="Arial"/>
        <family val="2"/>
      </rPr>
      <t>, </t>
    </r>
    <r>
      <rPr>
        <sz val="11"/>
        <color rgb="FFC7254E"/>
        <rFont val="Consolas"/>
        <family val="3"/>
      </rPr>
      <t>SWF</t>
    </r>
    <r>
      <rPr>
        <sz val="12"/>
        <color rgb="FF333333"/>
        <rFont val="Arial"/>
        <family val="2"/>
      </rPr>
      <t>, </t>
    </r>
    <r>
      <rPr>
        <sz val="11"/>
        <color rgb="FFC7254E"/>
        <rFont val="Consolas"/>
        <family val="3"/>
      </rPr>
      <t>JS</t>
    </r>
    <r>
      <rPr>
        <sz val="12"/>
        <color rgb="FF333333"/>
        <rFont val="Arial"/>
        <family val="2"/>
      </rPr>
      <t>, </t>
    </r>
    <r>
      <rPr>
        <sz val="11"/>
        <color rgb="FFC7254E"/>
        <rFont val="Consolas"/>
        <family val="3"/>
      </rPr>
      <t>GIF</t>
    </r>
    <r>
      <rPr>
        <sz val="12"/>
        <color rgb="FF333333"/>
        <rFont val="Arial"/>
        <family val="2"/>
      </rPr>
      <t>, and </t>
    </r>
    <r>
      <rPr>
        <sz val="11"/>
        <color rgb="FFC7254E"/>
        <rFont val="Consolas"/>
        <family val="3"/>
      </rPr>
      <t>PNG</t>
    </r>
    <r>
      <rPr>
        <sz val="12"/>
        <color rgb="FF333333"/>
        <rFont val="Arial"/>
        <family val="2"/>
      </rPr>
      <t> file types</t>
    </r>
  </si>
  <si>
    <t>its data contains all pages </t>
  </si>
  <si>
    <t>detailed information on the hosts themselves.</t>
  </si>
  <si>
    <t>country of origin and city</t>
  </si>
  <si>
    <t>operating system the host used when it hit the server</t>
  </si>
  <si>
    <t>browser the host used when it hit the server</t>
  </si>
  <si>
    <t>hour specificity can be set to the tenth of a minute level using</t>
  </si>
  <si>
    <t>This panel will display all the different virtual hosts parsed from the access log</t>
    <phoneticPr fontId="1" type="noConversion"/>
  </si>
  <si>
    <t>the host in question accessed the site via another resource, or was linked/diverted to you from another host, the URL they were referred from will be provided</t>
  </si>
  <si>
    <r>
      <rPr>
        <sz val="12"/>
        <color rgb="FF333333"/>
        <rFont val="맑은 고딕"/>
        <family val="2"/>
      </rPr>
      <t>상동</t>
    </r>
    <phoneticPr fontId="1" type="noConversion"/>
  </si>
  <si>
    <t>Determines where an IP address is geographically located</t>
  </si>
  <si>
    <t>The values of the numeric status code to HTTP request</t>
  </si>
  <si>
    <r>
      <t>Remote User (HTTP authentication)</t>
    </r>
    <r>
      <rPr>
        <strike/>
        <sz val="12"/>
        <color rgb="FF333333"/>
        <rFont val="Arial"/>
        <family val="2"/>
      </rPr>
      <t> </t>
    </r>
  </si>
  <si>
    <r>
      <t>MIS</t>
    </r>
    <r>
      <rPr>
        <sz val="12"/>
        <color rgb="FF333333"/>
        <rFont val="맑은 고딕"/>
        <family val="2"/>
      </rPr>
      <t>에</t>
    </r>
    <r>
      <rPr>
        <sz val="12"/>
        <color rgb="FF333333"/>
        <rFont val="Arial"/>
        <family val="2"/>
      </rPr>
      <t xml:space="preserve"> </t>
    </r>
    <r>
      <rPr>
        <sz val="12"/>
        <color rgb="FF333333"/>
        <rFont val="맑은 고딕"/>
        <family val="2"/>
      </rPr>
      <t>일반적이지</t>
    </r>
    <r>
      <rPr>
        <sz val="12"/>
        <color rgb="FF333333"/>
        <rFont val="Arial"/>
        <family val="2"/>
      </rPr>
      <t xml:space="preserve"> </t>
    </r>
    <r>
      <rPr>
        <sz val="12"/>
        <color rgb="FF333333"/>
        <rFont val="맑은 고딕"/>
        <family val="2"/>
      </rPr>
      <t>않음</t>
    </r>
    <phoneticPr fontId="1" type="noConversion"/>
  </si>
  <si>
    <t>구분</t>
    <phoneticPr fontId="1" type="noConversion"/>
  </si>
  <si>
    <t>NFR-01</t>
    <phoneticPr fontId="1" type="noConversion"/>
  </si>
  <si>
    <t>NFR-02</t>
    <phoneticPr fontId="1" type="noConversion"/>
  </si>
  <si>
    <t>파싱속도</t>
    <phoneticPr fontId="1" type="noConversion"/>
  </si>
  <si>
    <t>파일크기</t>
    <phoneticPr fontId="1" type="noConversion"/>
  </si>
  <si>
    <t>사용성</t>
    <phoneticPr fontId="1" type="noConversion"/>
  </si>
  <si>
    <t>NFR-03</t>
    <phoneticPr fontId="1" type="noConversion"/>
  </si>
  <si>
    <t>전략</t>
    <phoneticPr fontId="1" type="noConversion"/>
  </si>
  <si>
    <t xml:space="preserve">charjs </t>
    <phoneticPr fontId="1" type="noConversion"/>
  </si>
  <si>
    <t>default</t>
    <phoneticPr fontId="1" type="noConversion"/>
  </si>
  <si>
    <t>LogFormat "%h %l %u %t \"%r\" %&gt;s %b \"%{Referer}i\" \"%{User-Agent}i\"" combined</t>
    <phoneticPr fontId="1" type="noConversion"/>
  </si>
  <si>
    <t>log_format  main  '$remote_addr - $remote_user [$time_local] "$request" '
                      '$status $body_bytes_sent "$http_referer" '
                      '"$http_user_agent" "$http_x_forwarded_for"';</t>
    <phoneticPr fontId="1" type="noConversion"/>
  </si>
  <si>
    <t>IIS (NCSA) log format</t>
    <phoneticPr fontId="1" type="noConversion"/>
  </si>
  <si>
    <t>https://docs.microsoft.com/en-us/windows/win32/http/ncsa-logging</t>
  </si>
  <si>
    <t>https://docs.microsoft.com/en-us/windows/win32/http/w3c-logging</t>
  </si>
  <si>
    <t>IIS log format</t>
    <phoneticPr fontId="1" type="noConversion"/>
  </si>
  <si>
    <t>빈도 적음</t>
    <phoneticPr fontId="1" type="noConversion"/>
  </si>
  <si>
    <t>nginx log format
- log format
- 내장 variable 확인 필요</t>
    <phoneticPr fontId="1" type="noConversion"/>
  </si>
  <si>
    <t>LogFormat "%h %l %u %t \"%r\" %&gt;s %b" common</t>
    <phoneticPr fontId="1" type="noConversion"/>
  </si>
  <si>
    <t>기본 버전은 제약이 많음</t>
    <phoneticPr fontId="1" type="noConversion"/>
  </si>
  <si>
    <t>pandas</t>
    <phoneticPr fontId="1" type="noConversion"/>
  </si>
  <si>
    <t>numpy</t>
    <phoneticPr fontId="1" type="noConversion"/>
  </si>
  <si>
    <t>Process</t>
    <phoneticPr fontId="1" type="noConversion"/>
  </si>
  <si>
    <t>파일선택</t>
    <phoneticPr fontId="1" type="noConversion"/>
  </si>
  <si>
    <t>포맷선택</t>
    <phoneticPr fontId="1" type="noConversion"/>
  </si>
  <si>
    <t>기본화면로딩</t>
    <phoneticPr fontId="1" type="noConversion"/>
  </si>
  <si>
    <t>분석 - 그래프</t>
    <phoneticPr fontId="1" type="noConversion"/>
  </si>
  <si>
    <t>필터링</t>
    <phoneticPr fontId="1" type="noConversion"/>
  </si>
  <si>
    <t>소팅(필드별)</t>
    <phoneticPr fontId="1" type="noConversion"/>
  </si>
  <si>
    <t>시간</t>
    <phoneticPr fontId="1" type="noConversion"/>
  </si>
  <si>
    <t>문자열 탐색</t>
    <phoneticPr fontId="1" type="noConversion"/>
  </si>
  <si>
    <t>기본 설계 1차</t>
    <phoneticPr fontId="1" type="noConversion"/>
  </si>
  <si>
    <t>기능 Level2</t>
  </si>
  <si>
    <t>기능 Level3</t>
    <phoneticPr fontId="1" type="noConversion"/>
  </si>
  <si>
    <t>기능정의</t>
    <phoneticPr fontId="1" type="noConversion"/>
  </si>
  <si>
    <t>개인정보 변경</t>
    <phoneticPr fontId="1" type="noConversion"/>
  </si>
  <si>
    <t>개인권한 조회</t>
    <phoneticPr fontId="1" type="noConversion"/>
  </si>
  <si>
    <t>카테고리</t>
    <phoneticPr fontId="1" type="noConversion"/>
  </si>
  <si>
    <t>구현일정</t>
    <phoneticPr fontId="1" type="noConversion"/>
  </si>
  <si>
    <t>기능 Level1</t>
    <phoneticPr fontId="1" type="noConversion"/>
  </si>
  <si>
    <t>기능 Level3</t>
    <phoneticPr fontId="1" type="noConversion"/>
  </si>
  <si>
    <t>개인화면 설정</t>
    <phoneticPr fontId="1" type="noConversion"/>
  </si>
  <si>
    <t>언어설정</t>
    <phoneticPr fontId="1" type="noConversion"/>
  </si>
  <si>
    <t>개인정보 조회</t>
    <phoneticPr fontId="1" type="noConversion"/>
  </si>
  <si>
    <t>사용자 정보조회</t>
    <phoneticPr fontId="1" type="noConversion"/>
  </si>
  <si>
    <t>사용자 정보변경</t>
    <phoneticPr fontId="1" type="noConversion"/>
  </si>
  <si>
    <t>사용자 권한조회</t>
    <phoneticPr fontId="1" type="noConversion"/>
  </si>
  <si>
    <t>권한설정</t>
    <phoneticPr fontId="1" type="noConversion"/>
  </si>
  <si>
    <t>사용자 권한설정</t>
    <phoneticPr fontId="1" type="noConversion"/>
  </si>
  <si>
    <t>언어설정 - KO, EN</t>
    <phoneticPr fontId="1" type="noConversion"/>
  </si>
  <si>
    <t>로그포맷 조회</t>
    <phoneticPr fontId="1" type="noConversion"/>
  </si>
  <si>
    <t>로그포맷 변경</t>
    <phoneticPr fontId="1" type="noConversion"/>
  </si>
  <si>
    <t>지원로그포맷 조회</t>
    <phoneticPr fontId="1" type="noConversion"/>
  </si>
  <si>
    <t>우선순위</t>
    <phoneticPr fontId="1" type="noConversion"/>
  </si>
  <si>
    <t>Http Code 설명</t>
    <phoneticPr fontId="1" type="noConversion"/>
  </si>
  <si>
    <t>싱글파일 업로드</t>
    <phoneticPr fontId="1" type="noConversion"/>
  </si>
  <si>
    <t>멀티파일 업로드</t>
    <phoneticPr fontId="1" type="noConversion"/>
  </si>
  <si>
    <t>압축파일 업로드</t>
    <phoneticPr fontId="1" type="noConversion"/>
  </si>
  <si>
    <t>Request</t>
  </si>
  <si>
    <t>Date</t>
  </si>
  <si>
    <t>IP</t>
  </si>
  <si>
    <t>Status</t>
  </si>
  <si>
    <t>Countries</t>
  </si>
  <si>
    <t>Regular Expression</t>
    <phoneticPr fontId="1" type="noConversion"/>
  </si>
  <si>
    <t>Static Files</t>
    <phoneticPr fontId="1" type="noConversion"/>
  </si>
  <si>
    <t>지원로그포맷 변경 - Default</t>
    <phoneticPr fontId="1" type="noConversion"/>
  </si>
  <si>
    <t>지원로그포맷 변경 - Custom</t>
    <phoneticPr fontId="1" type="noConversion"/>
  </si>
  <si>
    <t>x, y, 그래프 종류 선택 가능</t>
    <phoneticPr fontId="1" type="noConversion"/>
  </si>
  <si>
    <t>Custom 그래프 생성</t>
    <phoneticPr fontId="1" type="noConversion"/>
  </si>
  <si>
    <t>Custom 통계 생성</t>
    <phoneticPr fontId="1" type="noConversion"/>
  </si>
  <si>
    <t>Line</t>
    <phoneticPr fontId="1" type="noConversion"/>
  </si>
  <si>
    <t>Pie</t>
    <phoneticPr fontId="1" type="noConversion"/>
  </si>
  <si>
    <t>내용</t>
    <phoneticPr fontId="1" type="noConversion"/>
  </si>
  <si>
    <t>WAS Log</t>
    <phoneticPr fontId="1" type="noConversion"/>
  </si>
  <si>
    <t>별도필요한가?</t>
    <phoneticPr fontId="1" type="noConversion"/>
  </si>
  <si>
    <t>TBD</t>
    <phoneticPr fontId="1" type="noConversion"/>
  </si>
  <si>
    <t>사용가이드</t>
    <phoneticPr fontId="1" type="noConversion"/>
  </si>
  <si>
    <t>Top IP Addresses</t>
    <phoneticPr fontId="1" type="noConversion"/>
  </si>
  <si>
    <t>Top Requests</t>
    <phoneticPr fontId="1" type="noConversion"/>
  </si>
  <si>
    <t>Top Countries</t>
    <phoneticPr fontId="1" type="noConversion"/>
  </si>
  <si>
    <t>Top 404 URLs</t>
    <phoneticPr fontId="1" type="noConversion"/>
  </si>
  <si>
    <t>Top Referers</t>
    <phoneticPr fontId="1" type="noConversion"/>
  </si>
  <si>
    <t>Top User Agents</t>
    <phoneticPr fontId="1" type="noConversion"/>
  </si>
  <si>
    <t>File Types</t>
    <phoneticPr fontId="1" type="noConversion"/>
  </si>
  <si>
    <t>Search Terms</t>
    <phoneticPr fontId="1" type="noConversion"/>
  </si>
  <si>
    <t>기타</t>
    <phoneticPr fontId="1" type="noConversion"/>
  </si>
  <si>
    <t>Grid 기능에 포함</t>
    <phoneticPr fontId="1" type="noConversion"/>
  </si>
  <si>
    <t>필터링 항목별 정렬</t>
    <phoneticPr fontId="1" type="noConversion"/>
  </si>
  <si>
    <t>로그포맷 선택화면 포함</t>
    <phoneticPr fontId="1" type="noConversion"/>
  </si>
  <si>
    <t>시, 분, 초 및 기간별 검색</t>
    <phoneticPr fontId="1" type="noConversion"/>
  </si>
  <si>
    <t>Referrer</t>
    <phoneticPr fontId="1" type="noConversion"/>
  </si>
  <si>
    <t>UserAgent</t>
    <phoneticPr fontId="1" type="noConversion"/>
  </si>
  <si>
    <t>TimeTaken</t>
    <phoneticPr fontId="1" type="noConversion"/>
  </si>
  <si>
    <t>TimeTaken 검색</t>
    <phoneticPr fontId="1" type="noConversion"/>
  </si>
  <si>
    <t>Http 코드 검색</t>
    <phoneticPr fontId="1" type="noConversion"/>
  </si>
  <si>
    <t>UserAgent검색</t>
    <phoneticPr fontId="1" type="noConversion"/>
  </si>
  <si>
    <t>Referrer검색</t>
    <phoneticPr fontId="1" type="noConversion"/>
  </si>
  <si>
    <t>IP 검색</t>
    <phoneticPr fontId="1" type="noConversion"/>
  </si>
  <si>
    <t>Countries 검색</t>
    <phoneticPr fontId="1" type="noConversion"/>
  </si>
  <si>
    <t>Static Files 검색</t>
    <phoneticPr fontId="1" type="noConversion"/>
  </si>
  <si>
    <t>통계 항목 중 Line 그래프</t>
    <phoneticPr fontId="1" type="noConversion"/>
  </si>
  <si>
    <t>통계 항목 중 Pie 그래프</t>
    <phoneticPr fontId="1" type="noConversion"/>
  </si>
  <si>
    <t>사용자 통계항목 생성</t>
    <phoneticPr fontId="1" type="noConversion"/>
  </si>
  <si>
    <t>압축 로그파일 지원</t>
    <phoneticPr fontId="1" type="noConversion"/>
  </si>
  <si>
    <t>로그파일 추가</t>
    <phoneticPr fontId="1" type="noConversion"/>
  </si>
  <si>
    <t>전체 처리량</t>
    <phoneticPr fontId="1" type="noConversion"/>
  </si>
  <si>
    <t>상태코드 Top5</t>
    <phoneticPr fontId="1" type="noConversion"/>
  </si>
  <si>
    <t>처리량 Top5</t>
    <phoneticPr fontId="1" type="noConversion"/>
  </si>
  <si>
    <t>Total Hits</t>
    <phoneticPr fontId="1" type="noConversion"/>
  </si>
  <si>
    <t>Status Codes</t>
    <phoneticPr fontId="1" type="noConversion"/>
  </si>
  <si>
    <t>최다접속 IP주소</t>
    <phoneticPr fontId="1" type="noConversion"/>
  </si>
  <si>
    <t>최다접속 사용자 요청</t>
    <phoneticPr fontId="1" type="noConversion"/>
  </si>
  <si>
    <t>최다접속 국가</t>
    <phoneticPr fontId="1" type="noConversion"/>
  </si>
  <si>
    <t>최다 404 발생 URL</t>
    <phoneticPr fontId="1" type="noConversion"/>
  </si>
  <si>
    <t>최다접속 Referers</t>
    <phoneticPr fontId="1" type="noConversion"/>
  </si>
  <si>
    <t>최다접속 User Agents</t>
    <phoneticPr fontId="1" type="noConversion"/>
  </si>
  <si>
    <t>방문수 Top5</t>
    <phoneticPr fontId="1" type="noConversion"/>
  </si>
  <si>
    <t>URL Query Top5</t>
    <phoneticPr fontId="1" type="noConversion"/>
  </si>
  <si>
    <t>Country IP Addresses</t>
    <phoneticPr fontId="1" type="noConversion"/>
  </si>
  <si>
    <t>IP Addresses 국가별 Top5</t>
    <phoneticPr fontId="1" type="noConversion"/>
  </si>
  <si>
    <t>파일타입 Top5</t>
    <phoneticPr fontId="1" type="noConversion"/>
  </si>
  <si>
    <t>솔루션 사용가이드</t>
    <phoneticPr fontId="1" type="noConversion"/>
  </si>
  <si>
    <t>Http Code 항목별 설명</t>
    <phoneticPr fontId="1" type="noConversion"/>
  </si>
  <si>
    <t>구분</t>
    <phoneticPr fontId="1" type="noConversion"/>
  </si>
  <si>
    <t>오픈소스</t>
    <phoneticPr fontId="1" type="noConversion"/>
  </si>
  <si>
    <t>제품</t>
    <phoneticPr fontId="1" type="noConversion"/>
  </si>
  <si>
    <t>용도</t>
    <phoneticPr fontId="1" type="noConversion"/>
  </si>
  <si>
    <t>Vue</t>
    <phoneticPr fontId="1" type="noConversion"/>
  </si>
  <si>
    <t>UI</t>
    <phoneticPr fontId="1" type="noConversion"/>
  </si>
  <si>
    <t>UI</t>
    <phoneticPr fontId="1" type="noConversion"/>
  </si>
  <si>
    <t>Nginx</t>
    <phoneticPr fontId="1" type="noConversion"/>
  </si>
  <si>
    <t>Web/wsgi</t>
    <phoneticPr fontId="1" type="noConversion"/>
  </si>
  <si>
    <t>AS</t>
    <phoneticPr fontId="1" type="noConversion"/>
  </si>
  <si>
    <t>Postgresql</t>
    <phoneticPr fontId="1" type="noConversion"/>
  </si>
  <si>
    <t>DB</t>
    <phoneticPr fontId="1" type="noConversion"/>
  </si>
  <si>
    <t>GeoIP</t>
    <phoneticPr fontId="1" type="noConversion"/>
  </si>
  <si>
    <t>GeoIP 란 MaxMind 에서 제공하는 국가별로 IP를 확인할 수 있는 오픈소스 라이브러리</t>
    <phoneticPr fontId="1" type="noConversion"/>
  </si>
  <si>
    <t>내용</t>
    <phoneticPr fontId="1" type="noConversion"/>
  </si>
  <si>
    <t>IP Country Mapper</t>
    <phoneticPr fontId="1" type="noConversion"/>
  </si>
  <si>
    <t>파싱속도</t>
    <phoneticPr fontId="1" type="noConversion"/>
  </si>
  <si>
    <t>활용가능?</t>
    <phoneticPr fontId="1" type="noConversion"/>
  </si>
  <si>
    <t>정규식</t>
    <phoneticPr fontId="1" type="noConversion"/>
  </si>
  <si>
    <t>분석 - 테이블</t>
    <phoneticPr fontId="1" type="noConversion"/>
  </si>
  <si>
    <t>시간선택</t>
    <phoneticPr fontId="1" type="noConversion"/>
  </si>
  <si>
    <t>화면구성</t>
    <phoneticPr fontId="1" type="noConversion"/>
  </si>
  <si>
    <t>AP서버</t>
    <phoneticPr fontId="1" type="noConversion"/>
  </si>
  <si>
    <t>데이터베이스</t>
    <phoneticPr fontId="1" type="noConversion"/>
  </si>
  <si>
    <t>내용</t>
    <phoneticPr fontId="1" type="noConversion"/>
  </si>
  <si>
    <t>시/분/초</t>
    <phoneticPr fontId="1" type="noConversion"/>
  </si>
  <si>
    <t>3/10 버전</t>
    <phoneticPr fontId="1" type="noConversion"/>
  </si>
  <si>
    <t>3/10 버전</t>
    <phoneticPr fontId="1" type="noConversion"/>
  </si>
  <si>
    <t>static file 처리시간 지연</t>
    <phoneticPr fontId="1" type="noConversion"/>
  </si>
  <si>
    <t>Value Added 기능대상</t>
    <phoneticPr fontId="1" type="noConversion"/>
  </si>
  <si>
    <t>사내UI표준</t>
    <phoneticPr fontId="1" type="noConversion"/>
  </si>
  <si>
    <t>http://uidev.sdsdevplatform.io/portal/#/catalog/Vue/About/Vue</t>
  </si>
  <si>
    <t>Log Master</t>
    <phoneticPr fontId="1" type="noConversion"/>
  </si>
  <si>
    <t>Log Detail</t>
    <phoneticPr fontId="1" type="noConversion"/>
  </si>
  <si>
    <t>uploader</t>
    <phoneticPr fontId="1" type="noConversion"/>
  </si>
  <si>
    <t>filepath</t>
    <phoneticPr fontId="1" type="noConversion"/>
  </si>
  <si>
    <t>filename</t>
    <phoneticPr fontId="1" type="noConversion"/>
  </si>
  <si>
    <t>created</t>
    <phoneticPr fontId="1" type="noConversion"/>
  </si>
  <si>
    <t>ID</t>
    <phoneticPr fontId="1" type="noConversion"/>
  </si>
  <si>
    <t>projectname</t>
    <phoneticPr fontId="1" type="noConversion"/>
  </si>
  <si>
    <t>projectid</t>
    <phoneticPr fontId="1" type="noConversion"/>
  </si>
  <si>
    <t>fileformat</t>
    <phoneticPr fontId="1" type="noConversion"/>
  </si>
  <si>
    <t>logcontent</t>
    <phoneticPr fontId="1" type="noConversion"/>
  </si>
  <si>
    <t>fhour</t>
    <phoneticPr fontId="1" type="noConversion"/>
  </si>
  <si>
    <t>fminute</t>
    <phoneticPr fontId="1" type="noConversion"/>
  </si>
  <si>
    <t>fsecond</t>
    <phoneticPr fontId="1" type="noConversion"/>
  </si>
  <si>
    <t>fip</t>
    <phoneticPr fontId="1" type="noConversion"/>
  </si>
  <si>
    <t>freferrer</t>
    <phoneticPr fontId="1" type="noConversion"/>
  </si>
  <si>
    <t>fuseragent</t>
    <phoneticPr fontId="1" type="noConversion"/>
  </si>
  <si>
    <t>fstatus</t>
    <phoneticPr fontId="1" type="noConversion"/>
  </si>
  <si>
    <t>ftimetaken</t>
    <phoneticPr fontId="1" type="noConversion"/>
  </si>
  <si>
    <t>자동채번</t>
    <phoneticPr fontId="1" type="noConversion"/>
  </si>
  <si>
    <t>자동채번</t>
    <phoneticPr fontId="1" type="noConversion"/>
  </si>
  <si>
    <t>파일명</t>
    <phoneticPr fontId="1" type="noConversion"/>
  </si>
  <si>
    <t>저장위치</t>
    <phoneticPr fontId="1" type="noConversion"/>
  </si>
  <si>
    <t>로그포맷</t>
    <phoneticPr fontId="1" type="noConversion"/>
  </si>
  <si>
    <t>요청자</t>
    <phoneticPr fontId="1" type="noConversion"/>
  </si>
  <si>
    <t>projectid(FK)</t>
    <phoneticPr fontId="1" type="noConversion"/>
  </si>
  <si>
    <t>로그 1 line</t>
    <phoneticPr fontId="1" type="noConversion"/>
  </si>
  <si>
    <t>시</t>
    <phoneticPr fontId="1" type="noConversion"/>
  </si>
  <si>
    <t>분</t>
    <phoneticPr fontId="1" type="noConversion"/>
  </si>
  <si>
    <t>초</t>
    <phoneticPr fontId="1" type="noConversion"/>
  </si>
  <si>
    <t>IP</t>
    <phoneticPr fontId="1" type="noConversion"/>
  </si>
  <si>
    <t>필터용 필드</t>
  </si>
  <si>
    <t>reserve1</t>
    <phoneticPr fontId="1" type="noConversion"/>
  </si>
  <si>
    <t>reserve2</t>
  </si>
  <si>
    <t>reserve3</t>
  </si>
  <si>
    <t>예약 필터필드</t>
    <phoneticPr fontId="1" type="noConversion"/>
  </si>
  <si>
    <t>postgresql 타입</t>
    <phoneticPr fontId="1" type="noConversion"/>
  </si>
  <si>
    <t>추가 테이블</t>
    <phoneticPr fontId="1" type="noConversion"/>
  </si>
  <si>
    <t>로그순서</t>
    <phoneticPr fontId="1" type="noConversion"/>
  </si>
  <si>
    <t>Paging용</t>
    <phoneticPr fontId="1" type="noConversion"/>
  </si>
  <si>
    <t>django model</t>
    <phoneticPr fontId="1" type="noConversion"/>
  </si>
  <si>
    <t>AutoField</t>
    <phoneticPr fontId="1" type="noConversion"/>
  </si>
  <si>
    <t>CharField</t>
  </si>
  <si>
    <t>DateField</t>
  </si>
  <si>
    <t>DateTimeField</t>
  </si>
  <si>
    <t>FileField</t>
  </si>
  <si>
    <t>EmailField</t>
  </si>
  <si>
    <t>def user_directory_path(instance, filename):
    # file will be uploaded to MEDIA_ROOT/user_&lt;id&gt;/&lt;filename&gt;
    return 'user_{0}/{1}'.format(instance.user.id, filename)
class MyModel(models.Model):
    upload = models.FileField(upload_to=user_directory_path)</t>
    <phoneticPr fontId="1" type="noConversion"/>
  </si>
  <si>
    <t>UUIDField</t>
  </si>
  <si>
    <t>ForeignKey</t>
  </si>
  <si>
    <t>class Car(models.Model):
    manufacturer = models.ForeignKey( 'Manufacturer',
        on_delete=models.CASCADE,
    )
    # ...
class Manufacturer(models.Model):
    # ...
    Pass</t>
    <phoneticPr fontId="1" type="noConversion"/>
  </si>
  <si>
    <t>PositiveIntegerField</t>
  </si>
  <si>
    <t>FilePathField</t>
    <phoneticPr fontId="1" type="noConversion"/>
  </si>
  <si>
    <t>https://docs.djangoproject.com/en/3.0/ref/models/fields/</t>
    <phoneticPr fontId="1" type="noConversion"/>
  </si>
  <si>
    <t>FilePathField(path="/home/images", match="foo.*", recursive=True)</t>
    <phoneticPr fontId="1" type="noConversion"/>
  </si>
  <si>
    <t>line</t>
    <phoneticPr fontId="1" type="noConversion"/>
  </si>
  <si>
    <t>생성일시</t>
    <phoneticPr fontId="1" type="noConversion"/>
  </si>
  <si>
    <t>PositiveSmallIntegerField</t>
  </si>
  <si>
    <t>ID(PK)</t>
    <phoneticPr fontId="1" type="noConversion"/>
  </si>
  <si>
    <t>프로잭트 명</t>
    <phoneticPr fontId="1" type="noConversion"/>
  </si>
  <si>
    <t>구분</t>
    <phoneticPr fontId="1" type="noConversion"/>
  </si>
  <si>
    <t>Backend</t>
    <phoneticPr fontId="1" type="noConversion"/>
  </si>
  <si>
    <t>Frontend</t>
    <phoneticPr fontId="1" type="noConversion"/>
  </si>
  <si>
    <t>기능</t>
    <phoneticPr fontId="1" type="noConversion"/>
  </si>
  <si>
    <t>파일업로드</t>
    <phoneticPr fontId="1" type="noConversion"/>
  </si>
  <si>
    <t>완료여부</t>
    <phoneticPr fontId="1" type="noConversion"/>
  </si>
  <si>
    <t>테스트기간</t>
    <phoneticPr fontId="1" type="noConversion"/>
  </si>
  <si>
    <t>DB설정 및 입력</t>
    <phoneticPr fontId="1" type="noConversion"/>
  </si>
  <si>
    <t>비고</t>
    <phoneticPr fontId="1" type="noConversion"/>
  </si>
  <si>
    <t>내용</t>
    <phoneticPr fontId="1" type="noConversion"/>
  </si>
  <si>
    <t>CRUD</t>
    <phoneticPr fontId="1" type="noConversion"/>
  </si>
  <si>
    <t>CRUD 기본 셋</t>
    <phoneticPr fontId="1" type="noConversion"/>
  </si>
  <si>
    <t>기본화면</t>
    <phoneticPr fontId="1" type="noConversion"/>
  </si>
  <si>
    <t>차트화면</t>
    <phoneticPr fontId="1" type="noConversion"/>
  </si>
  <si>
    <t>Vue 화면 구성</t>
    <phoneticPr fontId="1" type="noConversion"/>
  </si>
  <si>
    <t>Chart.js 화면 구성</t>
    <phoneticPr fontId="1" type="noConversion"/>
  </si>
  <si>
    <t>Backend 연계</t>
    <phoneticPr fontId="1" type="noConversion"/>
  </si>
  <si>
    <t>Backend 연계 - Paging</t>
    <phoneticPr fontId="1" type="noConversion"/>
  </si>
  <si>
    <t>Backend 연계 - Searching</t>
    <phoneticPr fontId="1" type="noConversion"/>
  </si>
  <si>
    <t>Backend 연계 - Ordering</t>
    <phoneticPr fontId="1" type="noConversion"/>
  </si>
  <si>
    <t>상세화면</t>
    <phoneticPr fontId="1" type="noConversion"/>
  </si>
  <si>
    <t>상세화면</t>
    <phoneticPr fontId="1" type="noConversion"/>
  </si>
  <si>
    <t>Pilot-ID</t>
    <phoneticPr fontId="1" type="noConversion"/>
  </si>
  <si>
    <t>P-001</t>
    <phoneticPr fontId="1" type="noConversion"/>
  </si>
  <si>
    <t>P-002</t>
  </si>
  <si>
    <t>P-003</t>
  </si>
  <si>
    <t>P-004</t>
  </si>
  <si>
    <t>P-005</t>
  </si>
  <si>
    <t>P-006</t>
  </si>
  <si>
    <t>P-007</t>
  </si>
  <si>
    <t>P-008</t>
  </si>
  <si>
    <t>P-009</t>
  </si>
  <si>
    <t>완료</t>
    <phoneticPr fontId="1" type="noConversion"/>
  </si>
  <si>
    <t>로그 파일을 업로드하여 라인 단위로 읽는 기능</t>
    <phoneticPr fontId="1" type="noConversion"/>
  </si>
  <si>
    <r>
      <t xml:space="preserve">LogAnalyzer
</t>
    </r>
    <r>
      <rPr>
        <b/>
        <sz val="11"/>
        <color rgb="FF0B02BE"/>
        <rFont val="Calibri"/>
        <family val="3"/>
        <charset val="129"/>
        <scheme val="minor"/>
      </rPr>
      <t>api</t>
    </r>
    <phoneticPr fontId="1" type="noConversion"/>
  </si>
  <si>
    <r>
      <t xml:space="preserve">공통
기능
</t>
    </r>
    <r>
      <rPr>
        <b/>
        <sz val="11"/>
        <color rgb="FF0B02BE"/>
        <rFont val="Calibri"/>
        <family val="3"/>
        <charset val="129"/>
        <scheme val="minor"/>
      </rPr>
      <t>comm</t>
    </r>
    <phoneticPr fontId="1" type="noConversion"/>
  </si>
  <si>
    <r>
      <t xml:space="preserve">Web Log
</t>
    </r>
    <r>
      <rPr>
        <b/>
        <sz val="11"/>
        <color rgb="FF0B02BE"/>
        <rFont val="Calibri"/>
        <family val="3"/>
        <charset val="129"/>
        <scheme val="minor"/>
      </rPr>
      <t>log</t>
    </r>
    <phoneticPr fontId="1" type="noConversion"/>
  </si>
  <si>
    <r>
      <t xml:space="preserve">조회
</t>
    </r>
    <r>
      <rPr>
        <b/>
        <sz val="11"/>
        <color rgb="FFFF0000"/>
        <rFont val="Calibri"/>
        <family val="3"/>
        <charset val="129"/>
        <scheme val="minor"/>
      </rPr>
      <t>GET</t>
    </r>
    <phoneticPr fontId="1" type="noConversion"/>
  </si>
  <si>
    <r>
      <t xml:space="preserve">초기화
</t>
    </r>
    <r>
      <rPr>
        <b/>
        <sz val="11"/>
        <color rgb="FFFF0000"/>
        <rFont val="Calibri"/>
        <family val="3"/>
        <charset val="129"/>
        <scheme val="minor"/>
      </rPr>
      <t>POST</t>
    </r>
    <phoneticPr fontId="1" type="noConversion"/>
  </si>
  <si>
    <r>
      <t xml:space="preserve">분석
</t>
    </r>
    <r>
      <rPr>
        <b/>
        <sz val="11"/>
        <color rgb="FF0B02BE"/>
        <rFont val="Calibri"/>
        <family val="3"/>
        <charset val="129"/>
        <scheme val="minor"/>
      </rPr>
      <t>analysis</t>
    </r>
    <phoneticPr fontId="1" type="noConversion"/>
  </si>
  <si>
    <r>
      <t xml:space="preserve">관리
</t>
    </r>
    <r>
      <rPr>
        <b/>
        <sz val="11"/>
        <color rgb="FF0B02BE"/>
        <rFont val="Calibri"/>
        <family val="3"/>
        <charset val="129"/>
        <scheme val="minor"/>
      </rPr>
      <t>management</t>
    </r>
    <phoneticPr fontId="1" type="noConversion"/>
  </si>
  <si>
    <r>
      <t xml:space="preserve">필터링(검색)
</t>
    </r>
    <r>
      <rPr>
        <b/>
        <i/>
        <sz val="11"/>
        <color theme="1"/>
        <rFont val="Calibri"/>
        <family val="3"/>
        <charset val="129"/>
        <scheme val="minor"/>
      </rPr>
      <t>search</t>
    </r>
    <phoneticPr fontId="1" type="noConversion"/>
  </si>
  <si>
    <r>
      <t xml:space="preserve">정렬
</t>
    </r>
    <r>
      <rPr>
        <b/>
        <i/>
        <sz val="11"/>
        <color theme="1"/>
        <rFont val="Calibri"/>
        <family val="3"/>
        <charset val="129"/>
        <scheme val="minor"/>
      </rPr>
      <t>order</t>
    </r>
    <phoneticPr fontId="1" type="noConversion"/>
  </si>
  <si>
    <r>
      <t xml:space="preserve">통계
테이블(표)
</t>
    </r>
    <r>
      <rPr>
        <b/>
        <sz val="11"/>
        <color rgb="FF0B02BE"/>
        <rFont val="Calibri"/>
        <family val="3"/>
        <charset val="129"/>
        <scheme val="minor"/>
      </rPr>
      <t>statistics</t>
    </r>
    <r>
      <rPr>
        <sz val="11"/>
        <color theme="1"/>
        <rFont val="Calibri"/>
        <family val="2"/>
        <scheme val="minor"/>
      </rPr>
      <t xml:space="preserve">
</t>
    </r>
    <r>
      <rPr>
        <b/>
        <sz val="11"/>
        <color rgb="FFFF0000"/>
        <rFont val="Calibri"/>
        <family val="3"/>
        <charset val="129"/>
        <scheme val="minor"/>
      </rPr>
      <t>GET</t>
    </r>
    <phoneticPr fontId="1" type="noConversion"/>
  </si>
  <si>
    <r>
      <t xml:space="preserve">권한관리
</t>
    </r>
    <r>
      <rPr>
        <b/>
        <sz val="11"/>
        <color rgb="FF0B02BE"/>
        <rFont val="Calibri"/>
        <family val="3"/>
        <charset val="129"/>
        <scheme val="minor"/>
      </rPr>
      <t>authorization</t>
    </r>
    <phoneticPr fontId="1" type="noConversion"/>
  </si>
  <si>
    <r>
      <t xml:space="preserve">사용자관리
</t>
    </r>
    <r>
      <rPr>
        <b/>
        <sz val="11"/>
        <color rgb="FF0B02BE"/>
        <rFont val="Calibri"/>
        <family val="3"/>
        <charset val="129"/>
        <scheme val="minor"/>
      </rPr>
      <t>user</t>
    </r>
    <phoneticPr fontId="1" type="noConversion"/>
  </si>
  <si>
    <r>
      <t xml:space="preserve">설정관리
</t>
    </r>
    <r>
      <rPr>
        <b/>
        <sz val="11"/>
        <color rgb="FF0B02BE"/>
        <rFont val="Calibri"/>
        <family val="3"/>
        <charset val="129"/>
        <scheme val="minor"/>
      </rPr>
      <t>setting</t>
    </r>
    <phoneticPr fontId="1" type="noConversion"/>
  </si>
  <si>
    <r>
      <t xml:space="preserve">가이드
</t>
    </r>
    <r>
      <rPr>
        <b/>
        <sz val="11"/>
        <color rgb="FF0B02BE"/>
        <rFont val="Calibri"/>
        <family val="3"/>
        <charset val="129"/>
        <scheme val="minor"/>
      </rPr>
      <t xml:space="preserve">guide
</t>
    </r>
    <r>
      <rPr>
        <b/>
        <sz val="11"/>
        <color rgb="FFFF0000"/>
        <rFont val="Calibri"/>
        <family val="3"/>
        <charset val="129"/>
        <scheme val="minor"/>
      </rPr>
      <t>GET</t>
    </r>
    <phoneticPr fontId="1" type="noConversion"/>
  </si>
  <si>
    <r>
      <t xml:space="preserve">그래프
</t>
    </r>
    <r>
      <rPr>
        <b/>
        <sz val="11"/>
        <color rgb="FF0B02BE"/>
        <rFont val="Calibri"/>
        <family val="3"/>
        <charset val="129"/>
        <scheme val="minor"/>
      </rPr>
      <t>chart</t>
    </r>
    <r>
      <rPr>
        <sz val="11"/>
        <color theme="1"/>
        <rFont val="Calibri"/>
        <family val="2"/>
        <scheme val="minor"/>
      </rPr>
      <t xml:space="preserve">
</t>
    </r>
    <r>
      <rPr>
        <b/>
        <sz val="11"/>
        <color rgb="FFFF0000"/>
        <rFont val="Calibri"/>
        <family val="3"/>
        <charset val="129"/>
        <scheme val="minor"/>
      </rPr>
      <t>GET</t>
    </r>
    <phoneticPr fontId="1" type="noConversion"/>
  </si>
  <si>
    <t>Package 구조</t>
    <phoneticPr fontId="1" type="noConversion"/>
  </si>
  <si>
    <t>loganalyzer</t>
    <phoneticPr fontId="1" type="noConversion"/>
  </si>
  <si>
    <t>core</t>
    <phoneticPr fontId="1" type="noConversion"/>
  </si>
  <si>
    <t>frontend</t>
    <phoneticPr fontId="1" type="noConversion"/>
  </si>
  <si>
    <t>backend</t>
    <phoneticPr fontId="1" type="noConversion"/>
  </si>
  <si>
    <t>api</t>
    <phoneticPr fontId="1" type="noConversion"/>
  </si>
  <si>
    <t>util</t>
    <phoneticPr fontId="1" type="noConversion"/>
  </si>
  <si>
    <t>analysis</t>
    <phoneticPr fontId="1" type="noConversion"/>
  </si>
  <si>
    <t>statistics</t>
    <phoneticPr fontId="1" type="noConversion"/>
  </si>
  <si>
    <t>chart</t>
    <phoneticPr fontId="1" type="noConversion"/>
  </si>
  <si>
    <t>setting</t>
    <phoneticPr fontId="1" type="noConversion"/>
  </si>
  <si>
    <t>user</t>
    <phoneticPr fontId="1" type="noConversion"/>
  </si>
  <si>
    <t>authorization</t>
    <phoneticPr fontId="1" type="noConversion"/>
  </si>
  <si>
    <t>log</t>
    <phoneticPr fontId="1" type="noConversion"/>
  </si>
  <si>
    <t>comm</t>
    <phoneticPr fontId="1" type="noConversion"/>
  </si>
  <si>
    <t>util</t>
    <phoneticPr fontId="1" type="noConversion"/>
  </si>
  <si>
    <t>2안</t>
    <phoneticPr fontId="1" type="noConversion"/>
  </si>
  <si>
    <t>03/30 버전</t>
    <phoneticPr fontId="1" type="noConversion"/>
  </si>
  <si>
    <t>개발순서</t>
    <phoneticPr fontId="1" type="noConversion"/>
  </si>
  <si>
    <t>router 구성</t>
    <phoneticPr fontId="1" type="noConversion"/>
  </si>
  <si>
    <t>각 화면 template구성</t>
    <phoneticPr fontId="1" type="noConversion"/>
  </si>
  <si>
    <t>데이터 연계 설계</t>
    <phoneticPr fontId="1" type="noConversion"/>
  </si>
  <si>
    <t>각 화면 Component 구성</t>
    <phoneticPr fontId="1" type="noConversion"/>
  </si>
  <si>
    <t>03/12~03/14</t>
    <phoneticPr fontId="1" type="noConversion"/>
  </si>
  <si>
    <t>* 비교페이지 - 시간대</t>
    <phoneticPr fontId="1" type="noConversion"/>
  </si>
  <si>
    <t>Django Framework</t>
    <phoneticPr fontId="1" type="noConversion"/>
  </si>
  <si>
    <t>* 메인페이지 변경</t>
    <phoneticPr fontId="1" type="noConversion"/>
  </si>
  <si>
    <t>* 룰 적용</t>
    <phoneticPr fontId="1" type="noConversion"/>
  </si>
  <si>
    <t>Stuck Thread</t>
    <phoneticPr fontId="1" type="noConversion"/>
  </si>
  <si>
    <t>* 기존 프로젝트 저장</t>
    <phoneticPr fontId="1" type="noConversion"/>
  </si>
  <si>
    <t>=&gt;</t>
    <phoneticPr fontId="1" type="noConversion"/>
  </si>
  <si>
    <t>불러오기</t>
    <phoneticPr fontId="1" type="noConversion"/>
  </si>
  <si>
    <t>테이블 별도 생성</t>
    <phoneticPr fontId="1" type="noConversion"/>
  </si>
  <si>
    <t>* 프로젝트별 테이블 생성?</t>
    <phoneticPr fontId="1" type="noConversion"/>
  </si>
  <si>
    <t>3안</t>
    <phoneticPr fontId="1" type="noConversion"/>
  </si>
  <si>
    <t>04/01 버전</t>
    <phoneticPr fontId="1" type="noConversion"/>
  </si>
  <si>
    <t>불러오기</t>
    <phoneticPr fontId="1" type="noConversion"/>
  </si>
  <si>
    <t>파일업로드</t>
    <phoneticPr fontId="1" type="noConversion"/>
  </si>
  <si>
    <t>지난 작업내용 불러오기</t>
    <phoneticPr fontId="1" type="noConversion"/>
  </si>
  <si>
    <t>파일 불러오기</t>
    <phoneticPr fontId="1" type="noConversion"/>
  </si>
  <si>
    <t>Bandwidth</t>
    <phoneticPr fontId="1" type="noConversion"/>
  </si>
  <si>
    <t>0401 피드백</t>
    <phoneticPr fontId="1" type="noConversion"/>
  </si>
  <si>
    <t>기능 추가</t>
    <phoneticPr fontId="1" type="noConversion"/>
  </si>
  <si>
    <t>용어변경</t>
    <phoneticPr fontId="1" type="noConversion"/>
  </si>
  <si>
    <t>GeoIP 여부</t>
    <phoneticPr fontId="1" type="noConversion"/>
  </si>
  <si>
    <t>* 프로젝트별 테이블 생성?</t>
  </si>
  <si>
    <t>별도 페이지 작성필요</t>
    <phoneticPr fontId="1" type="noConversion"/>
  </si>
  <si>
    <t>만들기부터</t>
    <phoneticPr fontId="1" type="noConversion"/>
  </si>
  <si>
    <t>변경사항</t>
    <phoneticPr fontId="1" type="noConversion"/>
  </si>
  <si>
    <t>project_id(PK)</t>
    <phoneticPr fontId="1" type="noConversion"/>
  </si>
  <si>
    <t>project_name</t>
    <phoneticPr fontId="1" type="noConversion"/>
  </si>
  <si>
    <t>project_description</t>
    <phoneticPr fontId="1" type="noConversion"/>
  </si>
  <si>
    <t>프로잭트 설명</t>
    <phoneticPr fontId="1" type="noConversion"/>
  </si>
  <si>
    <t>TextField</t>
    <phoneticPr fontId="1" type="noConversion"/>
  </si>
  <si>
    <t>logmaster</t>
    <phoneticPr fontId="1" type="noConversion"/>
  </si>
  <si>
    <t>logfile</t>
    <phoneticPr fontId="1" type="noConversion"/>
  </si>
  <si>
    <t>logdetail</t>
    <phoneticPr fontId="1" type="noConversion"/>
  </si>
  <si>
    <t>file_size</t>
    <phoneticPr fontId="1" type="noConversion"/>
  </si>
  <si>
    <t>file_path</t>
    <phoneticPr fontId="1" type="noConversion"/>
  </si>
  <si>
    <t>created</t>
    <phoneticPr fontId="1" type="noConversion"/>
  </si>
  <si>
    <t>로그크기</t>
    <phoneticPr fontId="1" type="noConversion"/>
  </si>
  <si>
    <t>id(PK)</t>
    <phoneticPr fontId="1" type="noConversion"/>
  </si>
  <si>
    <t>project_id(FK)</t>
    <phoneticPr fontId="1" type="noConversion"/>
  </si>
  <si>
    <t>filen_name</t>
    <phoneticPr fontId="1" type="noConversion"/>
  </si>
  <si>
    <t>file_format</t>
    <phoneticPr fontId="1" type="noConversion"/>
  </si>
  <si>
    <t>생성시입력</t>
    <phoneticPr fontId="1" type="noConversion"/>
  </si>
  <si>
    <t>log_line</t>
    <phoneticPr fontId="1" type="noConversion"/>
  </si>
  <si>
    <t>UUIDField</t>
    <phoneticPr fontId="1" type="noConversion"/>
  </si>
  <si>
    <t>CharField</t>
    <phoneticPr fontId="1" type="noConversion"/>
  </si>
  <si>
    <t>PositiveSmallIntegerField</t>
    <phoneticPr fontId="1" type="noConversion"/>
  </si>
  <si>
    <t>PositiveSmallIntegerField</t>
    <phoneticPr fontId="1" type="noConversion"/>
  </si>
  <si>
    <t>PositiveIntegerField</t>
    <phoneticPr fontId="1" type="noConversion"/>
  </si>
  <si>
    <t>CharField</t>
    <phoneticPr fontId="1" type="noConversion"/>
  </si>
  <si>
    <t>DateTimeField</t>
    <phoneticPr fontId="1" type="noConversion"/>
  </si>
  <si>
    <t>완료</t>
    <phoneticPr fontId="1" type="noConversion"/>
  </si>
  <si>
    <t>~04/03</t>
    <phoneticPr fontId="1" type="noConversion"/>
  </si>
  <si>
    <t>git반영</t>
    <phoneticPr fontId="1" type="noConversion"/>
  </si>
  <si>
    <t>logfile_id(PK)</t>
    <phoneticPr fontId="1" type="noConversion"/>
  </si>
  <si>
    <t>logfile_id(FK)</t>
    <phoneticPr fontId="1" type="noConversion"/>
  </si>
  <si>
    <t>fyear</t>
    <phoneticPr fontId="1" type="noConversion"/>
  </si>
  <si>
    <t>fmonth</t>
    <phoneticPr fontId="1" type="noConversion"/>
  </si>
  <si>
    <t>fday</t>
    <phoneticPr fontId="1" type="noConversion"/>
  </si>
  <si>
    <t>Request</t>
    <phoneticPr fontId="1" type="noConversion"/>
  </si>
  <si>
    <t>Request 검색</t>
    <phoneticPr fontId="1" type="noConversion"/>
  </si>
  <si>
    <t>Referrer 검색</t>
    <phoneticPr fontId="1" type="noConversion"/>
  </si>
  <si>
    <t>추가</t>
    <phoneticPr fontId="1" type="noConversion"/>
  </si>
  <si>
    <t>~04/10</t>
    <phoneticPr fontId="1" type="noConversion"/>
  </si>
  <si>
    <t>~04/08</t>
    <phoneticPr fontId="1" type="noConversion"/>
  </si>
  <si>
    <t>P-002-01</t>
    <phoneticPr fontId="1" type="noConversion"/>
  </si>
  <si>
    <t>logdetail 테이블에 100만건 이상의 데이터 입력</t>
    <phoneticPr fontId="1" type="noConversion"/>
  </si>
  <si>
    <t>대용량데이터 처리 성능</t>
    <phoneticPr fontId="1" type="noConversion"/>
  </si>
  <si>
    <t>~04/17</t>
    <phoneticPr fontId="1" type="noConversion"/>
  </si>
  <si>
    <t>logapp</t>
    <phoneticPr fontId="1" type="noConversion"/>
  </si>
  <si>
    <t>analysisapp</t>
    <phoneticPr fontId="1" type="noConversion"/>
  </si>
  <si>
    <t>commapp</t>
    <phoneticPr fontId="1" type="noConversion"/>
  </si>
  <si>
    <t>frequest</t>
    <phoneticPr fontId="1" type="noConversion"/>
  </si>
  <si>
    <t>referrer</t>
    <phoneticPr fontId="1" type="noConversion"/>
  </si>
  <si>
    <t>useragent</t>
    <phoneticPr fontId="1" type="noConversion"/>
  </si>
  <si>
    <t>status</t>
    <phoneticPr fontId="1" type="noConversion"/>
  </si>
  <si>
    <t>timetaken</t>
    <phoneticPr fontId="1" type="noConversion"/>
  </si>
  <si>
    <t>request</t>
    <phoneticPr fontId="1" type="noConversion"/>
  </si>
  <si>
    <t>https://httpd.apache.org/docs/2.4/ko/mod/mod_log_config.html#formats</t>
  </si>
  <si>
    <t>형식 문자열</t>
  </si>
  <si>
    <t>설명</t>
  </si>
  <si>
    <t>%%</t>
  </si>
  <si>
    <t>퍼센트 기호</t>
  </si>
  <si>
    <t>%...a</t>
  </si>
  <si>
    <t>원격 IP-주소</t>
  </si>
  <si>
    <t>%...A</t>
  </si>
  <si>
    <t>(서버) IP-주소</t>
  </si>
  <si>
    <t>%...B</t>
  </si>
  <si>
    <t>HTTP 헤더를 제외한 전송 바이트수.</t>
  </si>
  <si>
    <t>%...b</t>
  </si>
  <si>
    <r>
      <t>HTTP 헤더를 제외한 전송 바이트수. CLF 형식과 같이 전송한 내용이 없는 경우 0 대신 '</t>
    </r>
    <r>
      <rPr>
        <sz val="11"/>
        <color rgb="FF003366"/>
        <rFont val="Courier New"/>
        <family val="3"/>
      </rPr>
      <t>-</t>
    </r>
    <r>
      <rPr>
        <sz val="11"/>
        <color rgb="FF003366"/>
        <rFont val="Arial"/>
        <family val="2"/>
      </rPr>
      <t>'가 나온다.</t>
    </r>
  </si>
  <si>
    <r>
      <t>%...{</t>
    </r>
    <r>
      <rPr>
        <i/>
        <sz val="11"/>
        <color rgb="FF003366"/>
        <rFont val="Courier New"/>
        <family val="3"/>
      </rPr>
      <t>Foobar</t>
    </r>
    <r>
      <rPr>
        <sz val="11"/>
        <color rgb="FF003366"/>
        <rFont val="Courier New"/>
        <family val="3"/>
      </rPr>
      <t>}C</t>
    </r>
  </si>
  <si>
    <r>
      <t>서버가 수신한 요청에서 </t>
    </r>
    <r>
      <rPr>
        <i/>
        <sz val="11"/>
        <color rgb="FF003366"/>
        <rFont val="Arial"/>
        <family val="2"/>
      </rPr>
      <t>Foobar</t>
    </r>
    <r>
      <rPr>
        <sz val="11"/>
        <color rgb="FF003366"/>
        <rFont val="Arial"/>
        <family val="2"/>
      </rPr>
      <t> 쿠키의 내용.</t>
    </r>
  </si>
  <si>
    <t>%...D</t>
  </si>
  <si>
    <t>요청을 처리하는데 걸린 시간 (마이크로초 단위).</t>
  </si>
  <si>
    <r>
      <t>%...{</t>
    </r>
    <r>
      <rPr>
        <i/>
        <sz val="11"/>
        <color rgb="FF003366"/>
        <rFont val="Courier New"/>
        <family val="3"/>
      </rPr>
      <t>FOOBAR</t>
    </r>
    <r>
      <rPr>
        <sz val="11"/>
        <color rgb="FF003366"/>
        <rFont val="Courier New"/>
        <family val="3"/>
      </rPr>
      <t>}e</t>
    </r>
  </si>
  <si>
    <r>
      <t>환경변수 </t>
    </r>
    <r>
      <rPr>
        <i/>
        <sz val="11"/>
        <color rgb="FF003366"/>
        <rFont val="Arial"/>
        <family val="2"/>
      </rPr>
      <t>FOOBAR</t>
    </r>
    <r>
      <rPr>
        <sz val="11"/>
        <color rgb="FF003366"/>
        <rFont val="Arial"/>
        <family val="2"/>
      </rPr>
      <t>의 내용</t>
    </r>
  </si>
  <si>
    <t>%...f</t>
  </si>
  <si>
    <t>파일명</t>
  </si>
  <si>
    <t>%...h</t>
  </si>
  <si>
    <t>원격 호스트</t>
  </si>
  <si>
    <t>%...H</t>
  </si>
  <si>
    <t>요청 프로토콜</t>
  </si>
  <si>
    <r>
      <t>%...{</t>
    </r>
    <r>
      <rPr>
        <i/>
        <sz val="11"/>
        <color rgb="FF003366"/>
        <rFont val="Courier New"/>
        <family val="3"/>
      </rPr>
      <t>Foobar</t>
    </r>
    <r>
      <rPr>
        <sz val="11"/>
        <color rgb="FF003366"/>
        <rFont val="Courier New"/>
        <family val="3"/>
      </rPr>
      <t>}i</t>
    </r>
  </si>
  <si>
    <r>
      <t>서버가 수신한 요청에서 </t>
    </r>
    <r>
      <rPr>
        <i/>
        <sz val="11"/>
        <color rgb="FF003366"/>
        <rFont val="Courier New"/>
        <family val="3"/>
      </rPr>
      <t>Foobar</t>
    </r>
    <r>
      <rPr>
        <sz val="11"/>
        <color rgb="FF003366"/>
        <rFont val="Courier New"/>
        <family val="3"/>
      </rPr>
      <t>:</t>
    </r>
    <r>
      <rPr>
        <sz val="11"/>
        <color rgb="FF003366"/>
        <rFont val="Arial"/>
        <family val="2"/>
      </rPr>
      <t> 헤더의 내용.</t>
    </r>
  </si>
  <si>
    <t>%...l</t>
  </si>
  <si>
    <r>
      <t>(있다면 identd가 제공한) 원격 로그인명. </t>
    </r>
    <r>
      <rPr>
        <sz val="11"/>
        <color rgb="FFBC8F8F"/>
        <rFont val="Courier New"/>
        <family val="3"/>
      </rPr>
      <t>mod_ident</t>
    </r>
    <r>
      <rPr>
        <sz val="11"/>
        <color rgb="FF003366"/>
        <rFont val="Arial"/>
        <family val="2"/>
      </rPr>
      <t>가 있고 </t>
    </r>
    <r>
      <rPr>
        <sz val="11"/>
        <color rgb="FF35A500"/>
        <rFont val="Courier New"/>
        <family val="3"/>
      </rPr>
      <t>IdentityCheck</t>
    </r>
    <r>
      <rPr>
        <sz val="11"/>
        <color rgb="FF003366"/>
        <rFont val="Arial"/>
        <family val="2"/>
      </rPr>
      <t>가 </t>
    </r>
    <r>
      <rPr>
        <sz val="11"/>
        <color rgb="FF003366"/>
        <rFont val="Courier New"/>
        <family val="3"/>
      </rPr>
      <t>On</t>
    </r>
    <r>
      <rPr>
        <sz val="11"/>
        <color rgb="FF003366"/>
        <rFont val="Arial"/>
        <family val="2"/>
      </rPr>
      <t>이 아니면 빼기기호를 기록한다.</t>
    </r>
  </si>
  <si>
    <t>%...m</t>
  </si>
  <si>
    <t>요청 메써드</t>
  </si>
  <si>
    <r>
      <t>%...{</t>
    </r>
    <r>
      <rPr>
        <i/>
        <sz val="11"/>
        <color rgb="FF003366"/>
        <rFont val="Courier New"/>
        <family val="3"/>
      </rPr>
      <t>Foobar</t>
    </r>
    <r>
      <rPr>
        <sz val="11"/>
        <color rgb="FF003366"/>
        <rFont val="Courier New"/>
        <family val="3"/>
      </rPr>
      <t>}n</t>
    </r>
  </si>
  <si>
    <r>
      <t>다른 모듈이 기록한 </t>
    </r>
    <r>
      <rPr>
        <i/>
        <sz val="11"/>
        <color rgb="FF003366"/>
        <rFont val="Arial"/>
        <family val="2"/>
      </rPr>
      <t>Foobar</t>
    </r>
    <r>
      <rPr>
        <sz val="11"/>
        <color rgb="FF003366"/>
        <rFont val="Arial"/>
        <family val="2"/>
      </rPr>
      <t> 노트(note) 내용.</t>
    </r>
  </si>
  <si>
    <r>
      <t>%...{</t>
    </r>
    <r>
      <rPr>
        <i/>
        <sz val="11"/>
        <color rgb="FF003366"/>
        <rFont val="Courier New"/>
        <family val="3"/>
      </rPr>
      <t>Foobar</t>
    </r>
    <r>
      <rPr>
        <sz val="11"/>
        <color rgb="FF003366"/>
        <rFont val="Courier New"/>
        <family val="3"/>
      </rPr>
      <t>}o</t>
    </r>
  </si>
  <si>
    <r>
      <t>응답의 </t>
    </r>
    <r>
      <rPr>
        <i/>
        <sz val="11"/>
        <color rgb="FF003366"/>
        <rFont val="Courier New"/>
        <family val="3"/>
      </rPr>
      <t>Foobar</t>
    </r>
    <r>
      <rPr>
        <sz val="11"/>
        <color rgb="FF003366"/>
        <rFont val="Courier New"/>
        <family val="3"/>
      </rPr>
      <t>:</t>
    </r>
    <r>
      <rPr>
        <sz val="11"/>
        <color rgb="FF003366"/>
        <rFont val="Arial"/>
        <family val="2"/>
      </rPr>
      <t> 헤더 내용.</t>
    </r>
  </si>
  <si>
    <t>%...p</t>
  </si>
  <si>
    <t>요청을 서비스하는 서버의 정규 포트</t>
  </si>
  <si>
    <t>%...P</t>
  </si>
  <si>
    <t>요청을 서비스하는 자식의 프로세스 ID.</t>
  </si>
  <si>
    <r>
      <t>%...{</t>
    </r>
    <r>
      <rPr>
        <i/>
        <sz val="11"/>
        <color rgb="FF003366"/>
        <rFont val="Courier New"/>
        <family val="3"/>
      </rPr>
      <t>format</t>
    </r>
    <r>
      <rPr>
        <sz val="11"/>
        <color rgb="FF003366"/>
        <rFont val="Courier New"/>
        <family val="3"/>
      </rPr>
      <t>}P</t>
    </r>
  </si>
  <si>
    <r>
      <t>요청을 서비스하는 자식의 프로세스 ID 혹은 쓰레드 ID. format에는 </t>
    </r>
    <r>
      <rPr>
        <sz val="11"/>
        <color rgb="FF003366"/>
        <rFont val="Courier New"/>
        <family val="3"/>
      </rPr>
      <t>pid</t>
    </r>
    <r>
      <rPr>
        <sz val="11"/>
        <color rgb="FF003366"/>
        <rFont val="Arial"/>
        <family val="2"/>
      </rPr>
      <t>와 </t>
    </r>
    <r>
      <rPr>
        <sz val="11"/>
        <color rgb="FF003366"/>
        <rFont val="Courier New"/>
        <family val="3"/>
      </rPr>
      <t>tid</t>
    </r>
    <r>
      <rPr>
        <sz val="11"/>
        <color rgb="FF003366"/>
        <rFont val="Arial"/>
        <family val="2"/>
      </rPr>
      <t>가 가능하다.</t>
    </r>
  </si>
  <si>
    <t>%...q</t>
  </si>
  <si>
    <r>
      <t>질의문자열 (질의문자열이 있다면 앞에 </t>
    </r>
    <r>
      <rPr>
        <sz val="11"/>
        <color rgb="FF003366"/>
        <rFont val="Courier New"/>
        <family val="3"/>
      </rPr>
      <t>?</t>
    </r>
    <r>
      <rPr>
        <sz val="11"/>
        <color rgb="FF003366"/>
        <rFont val="Arial"/>
        <family val="2"/>
      </rPr>
      <t>를 붙이고, 없다면 빈 문자열)</t>
    </r>
  </si>
  <si>
    <t>%...r</t>
  </si>
  <si>
    <t>요청의 첫번째 줄</t>
  </si>
  <si>
    <t>%...s</t>
  </si>
  <si>
    <r>
      <t>상태(status). 내부 리다이렉션된 요청의 경우 *원래* 요청의 상태이다. 최종 요청의 상태는 </t>
    </r>
    <r>
      <rPr>
        <sz val="11"/>
        <color rgb="FF003366"/>
        <rFont val="Courier New"/>
        <family val="3"/>
      </rPr>
      <t>%...&gt;s</t>
    </r>
    <r>
      <rPr>
        <sz val="11"/>
        <color rgb="FF003366"/>
        <rFont val="Arial"/>
        <family val="2"/>
      </rPr>
      <t>.</t>
    </r>
  </si>
  <si>
    <t>%...t</t>
  </si>
  <si>
    <t>common log format 시간 형식(표준 영어 형식)의 시간</t>
  </si>
  <si>
    <r>
      <t>%...{</t>
    </r>
    <r>
      <rPr>
        <i/>
        <sz val="11"/>
        <color rgb="FF003366"/>
        <rFont val="Courier New"/>
        <family val="3"/>
      </rPr>
      <t>format</t>
    </r>
    <r>
      <rPr>
        <sz val="11"/>
        <color rgb="FF003366"/>
        <rFont val="Courier New"/>
        <family val="3"/>
      </rPr>
      <t>}t</t>
    </r>
  </si>
  <si>
    <r>
      <t>strftime(3)</t>
    </r>
    <r>
      <rPr>
        <sz val="11"/>
        <color rgb="FF003366"/>
        <rFont val="Arial"/>
        <family val="2"/>
      </rPr>
      <t> 형식 format의 시간. (지역시간일 수 있음)</t>
    </r>
  </si>
  <si>
    <t>%...T</t>
  </si>
  <si>
    <t>요청을 처리하는데 걸린 시간 (초 단위).</t>
  </si>
  <si>
    <t>%...u</t>
  </si>
  <si>
    <r>
      <t>원격 사용자 (auth가 제공하며, 상태(</t>
    </r>
    <r>
      <rPr>
        <sz val="11"/>
        <color rgb="FF003366"/>
        <rFont val="Courier New"/>
        <family val="3"/>
      </rPr>
      <t>%s</t>
    </r>
    <r>
      <rPr>
        <sz val="11"/>
        <color rgb="FF003366"/>
        <rFont val="Arial"/>
        <family val="2"/>
      </rPr>
      <t>)가 401인 경우 이상한 값을 나올 수 있음)</t>
    </r>
  </si>
  <si>
    <t>%...U</t>
  </si>
  <si>
    <t>질의문자열을 제외한 요청 URL 경로.</t>
  </si>
  <si>
    <t>%...v</t>
  </si>
  <si>
    <r>
      <t>요청을 서비스한 서버의 정규 </t>
    </r>
    <r>
      <rPr>
        <u/>
        <sz val="11"/>
        <color theme="10"/>
        <rFont val="Calibri"/>
        <family val="3"/>
        <charset val="129"/>
        <scheme val="minor"/>
      </rPr>
      <t>ServerName.</t>
    </r>
  </si>
  <si>
    <t>%...V</t>
  </si>
  <si>
    <r>
      <t>UseCanonicalName</t>
    </r>
    <r>
      <rPr>
        <u/>
        <sz val="11"/>
        <color theme="10"/>
        <rFont val="Calibri"/>
        <family val="3"/>
        <charset val="129"/>
        <scheme val="minor"/>
      </rPr>
      <t> 설정에 따른 서버명.</t>
    </r>
  </si>
  <si>
    <t>%...X</t>
  </si>
  <si>
    <t>응답을 마쳤을때 연결 상태.</t>
  </si>
  <si>
    <r>
      <t>X</t>
    </r>
    <r>
      <rPr>
        <sz val="11"/>
        <color theme="1"/>
        <rFont val="Calibri"/>
        <family val="3"/>
        <charset val="129"/>
        <scheme val="minor"/>
      </rPr>
      <t> =</t>
    </r>
  </si>
  <si>
    <t>응답을 마치기 전에 연결이 끊어졌다.</t>
  </si>
  <si>
    <r>
      <t>+</t>
    </r>
    <r>
      <rPr>
        <sz val="11"/>
        <color theme="1"/>
        <rFont val="Calibri"/>
        <family val="3"/>
        <charset val="129"/>
        <scheme val="minor"/>
      </rPr>
      <t> =</t>
    </r>
  </si>
  <si>
    <t>응답을 보낸후에도 연결이 살아있다(keep alive).</t>
  </si>
  <si>
    <r>
      <t>-</t>
    </r>
    <r>
      <rPr>
        <sz val="11"/>
        <color theme="1"/>
        <rFont val="Calibri"/>
        <family val="3"/>
        <charset val="129"/>
        <scheme val="minor"/>
      </rPr>
      <t> =</t>
    </r>
  </si>
  <si>
    <t>응답을 보낸후 연결이 끊어졌다.</t>
  </si>
  <si>
    <r>
      <t>(아파치 1.3 후반 버전에서 이 지시어는 </t>
    </r>
    <r>
      <rPr>
        <sz val="11"/>
        <color rgb="FF003366"/>
        <rFont val="Courier New"/>
        <family val="3"/>
      </rPr>
      <t>%...c</t>
    </r>
    <r>
      <rPr>
        <sz val="11"/>
        <color rgb="FF003366"/>
        <rFont val="Arial"/>
        <family val="2"/>
      </rPr>
      <t>였지만, 전통적인 ssl </t>
    </r>
    <r>
      <rPr>
        <sz val="11"/>
        <color rgb="FF003366"/>
        <rFont val="Courier New"/>
        <family val="3"/>
      </rPr>
      <t>%...{</t>
    </r>
    <r>
      <rPr>
        <i/>
        <sz val="11"/>
        <color rgb="FF003366"/>
        <rFont val="Courier New"/>
        <family val="3"/>
      </rPr>
      <t>var</t>
    </r>
    <r>
      <rPr>
        <sz val="11"/>
        <color rgb="FF003366"/>
        <rFont val="Courier New"/>
        <family val="3"/>
      </rPr>
      <t>}c</t>
    </r>
    <r>
      <rPr>
        <sz val="11"/>
        <color rgb="FF003366"/>
        <rFont val="Arial"/>
        <family val="2"/>
      </rPr>
      <t> 문법과 겹쳐서 변경했다.)</t>
    </r>
  </si>
  <si>
    <t>%...I</t>
  </si>
  <si>
    <r>
      <t>요청과 헤더를 포함한 수신 바이트수로 0일 수 없다. 이를 사용하려면 </t>
    </r>
    <r>
      <rPr>
        <u/>
        <sz val="11"/>
        <color theme="10"/>
        <rFont val="Calibri"/>
        <family val="3"/>
        <charset val="129"/>
        <scheme val="minor"/>
      </rPr>
      <t>mod_logio가 필요하다.</t>
    </r>
  </si>
  <si>
    <t>%...O</t>
  </si>
  <si>
    <r>
      <t>헤더를 포함한 송신 바이트수로 0일 수 없다. 이를 사용하려면 </t>
    </r>
    <r>
      <rPr>
        <u/>
        <sz val="11"/>
        <color theme="10"/>
        <rFont val="Calibri"/>
        <family val="3"/>
        <charset val="129"/>
        <scheme val="minor"/>
      </rPr>
      <t>mod_logio가 필요하다.</t>
    </r>
  </si>
  <si>
    <t>Common Log Format (CLF)</t>
  </si>
  <si>
    <t>"%h %l %u %t \"%r\" %&gt;s %b"</t>
  </si>
  <si>
    <t>가상호스트 정보를 포함한 Common Log Format</t>
  </si>
  <si>
    <t>"%v %h %l %u %t \"%r\" %&gt;s %b"</t>
  </si>
  <si>
    <t>NCSA extended/combined 로그 형식</t>
  </si>
  <si>
    <t>"%h %l %u %t \"%r\" %&gt;s %b \"%{Referer}i\" \"%{User-agent}i\""</t>
  </si>
  <si>
    <t>Referer 로그 형식</t>
  </si>
  <si>
    <t>"%{Referer}i -&gt; %U"</t>
  </si>
  <si>
    <t>Agent (브라우저) 로그 형식</t>
  </si>
  <si>
    <t>"%{User-agent}i"</t>
  </si>
  <si>
    <t>완료</t>
    <phoneticPr fontId="1" type="noConversion"/>
  </si>
  <si>
    <t>130만건/1분</t>
    <phoneticPr fontId="1" type="noConversion"/>
  </si>
  <si>
    <t>Postgresql 서버 주요 테이블 설계 및 데이터 입력</t>
    <phoneticPr fontId="1" type="noConversion"/>
  </si>
  <si>
    <t>디자인 제외</t>
    <phoneticPr fontId="1" type="noConversion"/>
  </si>
  <si>
    <t>P-010</t>
    <phoneticPr fontId="1" type="noConversion"/>
  </si>
  <si>
    <t>Frontend</t>
    <phoneticPr fontId="1" type="noConversion"/>
  </si>
  <si>
    <t>화면 디자인</t>
    <phoneticPr fontId="1" type="noConversion"/>
  </si>
  <si>
    <t>OPUS UI 표준준수 기본화면</t>
    <phoneticPr fontId="1" type="noConversion"/>
  </si>
  <si>
    <t>P-004-01</t>
    <phoneticPr fontId="1" type="noConversion"/>
  </si>
  <si>
    <t>P-003-01</t>
    <phoneticPr fontId="1" type="noConversion"/>
  </si>
  <si>
    <t>Searching, Ordering, Paging</t>
    <phoneticPr fontId="1" type="noConversion"/>
  </si>
  <si>
    <t>~04/24</t>
    <phoneticPr fontId="1" type="noConversion"/>
  </si>
  <si>
    <t>Searching, Ordering, Paging 기능</t>
    <phoneticPr fontId="1" type="noConversion"/>
  </si>
  <si>
    <t>Backend 연계</t>
    <phoneticPr fontId="1" type="noConversion"/>
  </si>
  <si>
    <t>axios 라이브러리 구성 및 RestAPI Template 코드 작성</t>
    <phoneticPr fontId="1" type="noConversion"/>
  </si>
  <si>
    <t>~04/28</t>
    <phoneticPr fontId="1" type="noConversion"/>
  </si>
  <si>
    <t>NFR-01</t>
    <phoneticPr fontId="1" type="noConversion"/>
  </si>
  <si>
    <t>파싱속도</t>
    <phoneticPr fontId="1" type="noConversion"/>
  </si>
  <si>
    <t>구분</t>
    <phoneticPr fontId="1" type="noConversion"/>
  </si>
  <si>
    <t>의미</t>
    <phoneticPr fontId="1" type="noConversion"/>
  </si>
  <si>
    <t>환경</t>
    <phoneticPr fontId="1" type="noConversion"/>
  </si>
  <si>
    <t>Windows10, 8core, 16GB, remote postgresql 11 on 아키텍처랩(수원)</t>
    <phoneticPr fontId="1" type="noConversion"/>
  </si>
  <si>
    <t>결과</t>
    <phoneticPr fontId="1" type="noConversion"/>
  </si>
  <si>
    <t>1-1 multi object 인서트</t>
  </si>
  <si>
    <t>########################################### sqlite3 기준</t>
  </si>
  <si>
    <t>- 400K(5,000라인): 27s</t>
  </si>
  <si>
    <t xml:space="preserve">- 900K(11,257라인): </t>
  </si>
  <si>
    <t>- 100M(1,350,840라인): 몇시간 단위</t>
  </si>
  <si>
    <t>###########################################</t>
  </si>
  <si>
    <t xml:space="preserve">1-2 AUTOCOMMIT false 설정 </t>
  </si>
  <si>
    <t>- 400K(5,000라인): 8s</t>
  </si>
  <si>
    <t>- 900K(11,257라인): 18s</t>
  </si>
  <si>
    <t>- 100M(1,350,840라인): 2,335s (39분)</t>
  </si>
  <si>
    <t>########################################### postgres11 기준</t>
  </si>
  <si>
    <t>- 400K(5,000라인): 9s</t>
  </si>
  <si>
    <t>- 900K(11,257라인): 21s</t>
  </si>
  <si>
    <t>- 100M(1,350,840라인): 2,676s</t>
  </si>
  <si>
    <t>- 400K(5,000라인): s</t>
  </si>
  <si>
    <t>- 900K(11,257라인): s</t>
  </si>
  <si>
    <t>- 100M(1,350,840라인): 59.1s (완료)</t>
  </si>
  <si>
    <t>1-3 postgresql copy 방식</t>
    <phoneticPr fontId="1" type="noConversion"/>
  </si>
  <si>
    <t>pandas 및 copy 사용</t>
    <phoneticPr fontId="1" type="noConversion"/>
  </si>
  <si>
    <t>전략 : parsing - pandas 사용, insert - postgresql copy 사용</t>
    <phoneticPr fontId="1" type="noConversion"/>
  </si>
  <si>
    <t>로그파일 라인단위 파싱 후 DB 인서트까지 걸린 시간</t>
    <phoneticPr fontId="1" type="noConversion"/>
  </si>
  <si>
    <t>59.1s / 130만건
(apache common 포맷)</t>
    <phoneticPr fontId="1" type="noConversion"/>
  </si>
  <si>
    <t>Exception 처리 로직</t>
    <phoneticPr fontId="1" type="noConversion"/>
  </si>
  <si>
    <t>P-003-02</t>
    <phoneticPr fontId="1" type="noConversion"/>
  </si>
  <si>
    <t>Exception Handling on API call</t>
    <phoneticPr fontId="1" type="noConversion"/>
  </si>
  <si>
    <t>로그포맷 구분</t>
    <phoneticPr fontId="1" type="noConversion"/>
  </si>
  <si>
    <t>로그포맷</t>
    <phoneticPr fontId="1" type="noConversion"/>
  </si>
  <si>
    <t>format_name</t>
    <phoneticPr fontId="1" type="noConversion"/>
  </si>
  <si>
    <t>로그포맷명</t>
    <phoneticPr fontId="1" type="noConversion"/>
  </si>
  <si>
    <t>creater</t>
    <phoneticPr fontId="1" type="noConversion"/>
  </si>
  <si>
    <t>생성자</t>
    <phoneticPr fontId="1" type="noConversion"/>
  </si>
  <si>
    <t>apache</t>
    <phoneticPr fontId="1" type="noConversion"/>
  </si>
  <si>
    <t>%h %l %u %t \"%r\" %&gt;s %b</t>
  </si>
  <si>
    <t>default외 custom</t>
    <phoneticPr fontId="1" type="noConversion"/>
  </si>
  <si>
    <t>format_string</t>
    <phoneticPr fontId="1" type="noConversion"/>
  </si>
  <si>
    <t>형식 문자열</t>
    <phoneticPr fontId="1" type="noConversion"/>
  </si>
  <si>
    <t>format_definition</t>
    <phoneticPr fontId="1" type="noConversion"/>
  </si>
  <si>
    <t>형식 설명</t>
    <phoneticPr fontId="1" type="noConversion"/>
  </si>
  <si>
    <t>apache/nginx/iis</t>
    <phoneticPr fontId="1" type="noConversion"/>
  </si>
  <si>
    <t>format_id(PK)</t>
    <phoneticPr fontId="1" type="noConversion"/>
  </si>
  <si>
    <t>format_strings</t>
    <phoneticPr fontId="1" type="noConversion"/>
  </si>
  <si>
    <t>apache</t>
    <phoneticPr fontId="1" type="noConversion"/>
  </si>
  <si>
    <t>iis</t>
    <phoneticPr fontId="1" type="noConversion"/>
  </si>
  <si>
    <t>nginx</t>
    <phoneticPr fontId="1" type="noConversion"/>
  </si>
  <si>
    <t>tomcat</t>
    <phoneticPr fontId="1" type="noConversion"/>
  </si>
  <si>
    <t>weblogic</t>
    <phoneticPr fontId="1" type="noConversion"/>
  </si>
  <si>
    <t>custom도 이중 하나임</t>
    <phoneticPr fontId="1" type="noConversion"/>
  </si>
  <si>
    <t>Logformat</t>
    <phoneticPr fontId="1" type="noConversion"/>
  </si>
  <si>
    <t>Logformat_string</t>
    <phoneticPr fontId="1" type="noConversion"/>
  </si>
  <si>
    <t>formatstring_id(PK)</t>
    <phoneticPr fontId="1" type="noConversion"/>
  </si>
  <si>
    <t>fomat_kind</t>
    <phoneticPr fontId="1" type="noConversion"/>
  </si>
  <si>
    <t>format_kind</t>
    <phoneticPr fontId="1" type="noConversion"/>
  </si>
  <si>
    <t>%...f</t>
    <phoneticPr fontId="1" type="noConversion"/>
  </si>
  <si>
    <t>f</t>
    <phoneticPr fontId="1" type="noConversion"/>
  </si>
  <si>
    <t>h</t>
    <phoneticPr fontId="1" type="noConversion"/>
  </si>
  <si>
    <t>CLF (참고용)</t>
    <phoneticPr fontId="1" type="noConversion"/>
  </si>
  <si>
    <t>시간 포맷 중요</t>
    <phoneticPr fontId="1" type="noConversion"/>
  </si>
  <si>
    <t>2번 인덱싱 필요</t>
    <phoneticPr fontId="1" type="noConversion"/>
  </si>
  <si>
    <t>df 사용때문에</t>
    <phoneticPr fontId="1" type="noConversion"/>
  </si>
  <si>
    <t>고려사항</t>
    <phoneticPr fontId="1" type="noConversion"/>
  </si>
  <si>
    <t>parsing 속도</t>
    <phoneticPr fontId="1" type="noConversion"/>
  </si>
  <si>
    <t>DB insert 속도</t>
    <phoneticPr fontId="1" type="noConversion"/>
  </si>
  <si>
    <t>로그테이블 비대화</t>
    <phoneticPr fontId="1" type="noConversion"/>
  </si>
  <si>
    <t>전략</t>
    <phoneticPr fontId="1" type="noConversion"/>
  </si>
  <si>
    <t>multiprocessing, multithread, dataframe</t>
    <phoneticPr fontId="1" type="noConversion"/>
  </si>
  <si>
    <t>dynamic django model for each log</t>
    <phoneticPr fontId="1" type="noConversion"/>
  </si>
  <si>
    <t>postgresql copy</t>
    <phoneticPr fontId="1" type="noConversion"/>
  </si>
  <si>
    <t>Kyoto Cabinet On-Disk B+ Tree</t>
    <phoneticPr fontId="1" type="noConversion"/>
  </si>
  <si>
    <t>세부 Steps : 전체 line 수 세기 -&gt; process 수만큼 병렬처리 -&gt; csv 파일생성</t>
    <phoneticPr fontId="1" type="noConversion"/>
  </si>
  <si>
    <t>135만라인 기준 20~30s, Linear -&gt; 1350라인 300s 예상</t>
    <phoneticPr fontId="1" type="noConversion"/>
  </si>
  <si>
    <t>활용가능? -&gt; 적용</t>
    <phoneticPr fontId="1" type="noConversion"/>
  </si>
  <si>
    <t>TODO</t>
    <phoneticPr fontId="1" type="noConversion"/>
  </si>
  <si>
    <t>1. 공통 CSS 파일 별도로 만들고 link 형태로 만들 것</t>
    <phoneticPr fontId="1" type="noConversion"/>
  </si>
  <si>
    <t>2. layout 하위에 종류별 folder 생성할 것 - 예 : chart_bar, chart_line 그리고 Data를 재사용할 수 있도록</t>
    <phoneticPr fontId="1" type="noConversion"/>
  </si>
  <si>
    <t>Gridtable</t>
  </si>
  <si>
    <t>연</t>
  </si>
  <si>
    <t>월</t>
  </si>
  <si>
    <t>일</t>
  </si>
  <si>
    <t>연,월,일,시, 분, 초</t>
  </si>
  <si>
    <t>기간별 검색(From, To)</t>
  </si>
  <si>
    <t>단위 고려 : ms, s</t>
  </si>
  <si>
    <t>범위 검색(From, To)</t>
  </si>
  <si>
    <t>Regular Expression 검색</t>
  </si>
  <si>
    <t>Time</t>
  </si>
  <si>
    <t>Referrer</t>
  </si>
  <si>
    <t>UserAgent</t>
  </si>
  <si>
    <t>TimeTaken</t>
  </si>
  <si>
    <t>fromDate</t>
  </si>
  <si>
    <t>toDate</t>
  </si>
  <si>
    <t>fromTime</t>
  </si>
  <si>
    <t>toTime</t>
  </si>
  <si>
    <t>YYYYMMDD</t>
  </si>
  <si>
    <t>HHMMSS</t>
  </si>
  <si>
    <t>프로젝트 설명</t>
  </si>
  <si>
    <t>projectName</t>
  </si>
  <si>
    <t>fileNames</t>
  </si>
  <si>
    <t>logFormat</t>
  </si>
  <si>
    <t>fromTimeTaken</t>
  </si>
  <si>
    <t>toTimeTaken</t>
  </si>
  <si>
    <t>condition</t>
  </si>
  <si>
    <t>searchKeyword</t>
  </si>
  <si>
    <t>I, R, E, U, S (위 1~5)</t>
  </si>
  <si>
    <t>검색문자열</t>
  </si>
  <si>
    <t>Vuex - State</t>
  </si>
  <si>
    <t>공통정보</t>
  </si>
  <si>
    <t>검색정보</t>
  </si>
  <si>
    <t>I</t>
  </si>
  <si>
    <t>E</t>
  </si>
  <si>
    <t>U</t>
  </si>
  <si>
    <t>S</t>
  </si>
  <si>
    <t>R</t>
  </si>
  <si>
    <t>fdate</t>
  </si>
  <si>
    <t>ftime</t>
  </si>
  <si>
    <t>hhmmss</t>
  </si>
  <si>
    <t>CharField
(8)</t>
  </si>
  <si>
    <t>CharField
(6)</t>
  </si>
  <si>
    <t>CharField
(4)</t>
  </si>
  <si>
    <t>CharField
(2)</t>
  </si>
  <si>
    <t>fdatetime</t>
  </si>
  <si>
    <t>날짜</t>
  </si>
  <si>
    <t>시간</t>
  </si>
  <si>
    <t>날짜시간</t>
  </si>
  <si>
    <t>CharField
(14)</t>
  </si>
  <si>
    <t>YYYYMMDDhhmmss</t>
  </si>
  <si>
    <t>통계 공식 - LogDetail Table</t>
  </si>
  <si>
    <t>전체</t>
  </si>
  <si>
    <t>전체 건수</t>
  </si>
  <si>
    <t>상태코드 Grouping, Count 후 &lt; 5</t>
  </si>
  <si>
    <t>Requests Top5</t>
  </si>
  <si>
    <t>Status Codes Top5</t>
  </si>
  <si>
    <t>Requests Grouping, Count 후 &lt; 5</t>
  </si>
  <si>
    <t>전체 평균 처리시간, 분산</t>
  </si>
  <si>
    <t>버전</t>
  </si>
  <si>
    <t>2.9.3</t>
  </si>
  <si>
    <t>vue-chartjs</t>
  </si>
  <si>
    <t>3.5.0</t>
  </si>
  <si>
    <t>chart 성능</t>
  </si>
  <si>
    <t>chart 데이터 이동은 props를 이용한다.</t>
  </si>
  <si>
    <r>
      <t>&lt;</t>
    </r>
    <r>
      <rPr>
        <b/>
        <sz val="10"/>
        <color rgb="FF062873"/>
        <rFont val="Consolas"/>
        <family val="3"/>
      </rPr>
      <t>bar-chart</t>
    </r>
    <r>
      <rPr>
        <sz val="10"/>
        <color rgb="FF212529"/>
        <rFont val="Consolas"/>
        <family val="3"/>
      </rPr>
      <t xml:space="preserve"> </t>
    </r>
    <r>
      <rPr>
        <sz val="10"/>
        <color rgb="FF4070A0"/>
        <rFont val="Consolas"/>
        <family val="3"/>
      </rPr>
      <t>:data</t>
    </r>
    <r>
      <rPr>
        <sz val="10"/>
        <color rgb="FF666666"/>
        <rFont val="Consolas"/>
        <family val="3"/>
      </rPr>
      <t>=</t>
    </r>
    <r>
      <rPr>
        <sz val="10"/>
        <color rgb="FF4070A0"/>
        <rFont val="Consolas"/>
        <family val="3"/>
      </rPr>
      <t>"barChartData"</t>
    </r>
    <r>
      <rPr>
        <sz val="10"/>
        <color rgb="FF212529"/>
        <rFont val="Consolas"/>
        <family val="3"/>
      </rPr>
      <t xml:space="preserve"> </t>
    </r>
    <r>
      <rPr>
        <sz val="10"/>
        <color rgb="FF4070A0"/>
        <rFont val="Consolas"/>
        <family val="3"/>
      </rPr>
      <t>:options</t>
    </r>
    <r>
      <rPr>
        <sz val="10"/>
        <color rgb="FF666666"/>
        <rFont val="Consolas"/>
        <family val="3"/>
      </rPr>
      <t>=</t>
    </r>
    <r>
      <rPr>
        <sz val="10"/>
        <color rgb="FF4070A0"/>
        <rFont val="Consolas"/>
        <family val="3"/>
      </rPr>
      <t>"barChartOptions"</t>
    </r>
    <r>
      <rPr>
        <sz val="10"/>
        <color rgb="FF212529"/>
        <rFont val="Consolas"/>
        <family val="3"/>
      </rPr>
      <t xml:space="preserve"> </t>
    </r>
    <r>
      <rPr>
        <sz val="10"/>
        <color rgb="FF4070A0"/>
        <rFont val="Consolas"/>
        <family val="3"/>
      </rPr>
      <t>:height</t>
    </r>
    <r>
      <rPr>
        <sz val="10"/>
        <color rgb="FF666666"/>
        <rFont val="Consolas"/>
        <family val="3"/>
      </rPr>
      <t>=</t>
    </r>
    <r>
      <rPr>
        <sz val="10"/>
        <color rgb="FF4070A0"/>
        <rFont val="Consolas"/>
        <family val="3"/>
      </rPr>
      <t>"200"</t>
    </r>
    <r>
      <rPr>
        <sz val="10"/>
        <color rgb="FF212529"/>
        <rFont val="Consolas"/>
        <family val="3"/>
      </rPr>
      <t xml:space="preserve"> /&gt;</t>
    </r>
  </si>
  <si>
    <t>~05/31</t>
  </si>
  <si>
    <t>~06/26</t>
  </si>
  <si>
    <t>신규 Project 생성</t>
  </si>
  <si>
    <t>기존 Project 로딩</t>
  </si>
  <si>
    <t>로그포맷 설정</t>
  </si>
  <si>
    <t>로딩 데이터범위 설정</t>
  </si>
  <si>
    <t>- 전체
'- From일시 ~ To일시</t>
  </si>
  <si>
    <t>STEP1</t>
  </si>
  <si>
    <t>STEP2</t>
  </si>
  <si>
    <t>STEP3</t>
  </si>
  <si>
    <t>로그파일 선택</t>
  </si>
  <si>
    <t>추가 가능</t>
  </si>
  <si>
    <t>현재 Session관련</t>
  </si>
  <si>
    <t>상태 보여주기</t>
  </si>
  <si>
    <t>Project</t>
  </si>
  <si>
    <t xml:space="preserve">New </t>
  </si>
  <si>
    <t>Exist</t>
  </si>
  <si>
    <t>project_name</t>
  </si>
  <si>
    <t>project_description</t>
  </si>
  <si>
    <t>uploader</t>
  </si>
  <si>
    <t>created</t>
  </si>
  <si>
    <t>New</t>
  </si>
  <si>
    <t>ROW 선택 후 OK : Loading</t>
  </si>
  <si>
    <t>Step1</t>
  </si>
  <si>
    <t>Next(Step2)</t>
  </si>
  <si>
    <t>Step2</t>
  </si>
  <si>
    <t>OK</t>
  </si>
  <si>
    <t>file</t>
  </si>
  <si>
    <t>file format</t>
  </si>
  <si>
    <t>버튼</t>
  </si>
  <si>
    <t>DropBox</t>
  </si>
  <si>
    <t>file size (자동계산)</t>
  </si>
  <si>
    <t>기본선택</t>
  </si>
  <si>
    <t>Custom</t>
  </si>
  <si>
    <t>data range</t>
  </si>
  <si>
    <t>From 일시~ To 일시</t>
  </si>
  <si>
    <t>Prev(Step1)</t>
  </si>
  <si>
    <t>Next(Step3)</t>
  </si>
  <si>
    <t>Step3</t>
  </si>
  <si>
    <t>최종확인</t>
  </si>
  <si>
    <t>New/Exist</t>
  </si>
  <si>
    <t>Prev(Step2)</t>
  </si>
  <si>
    <t>기본 화면</t>
  </si>
  <si>
    <t>현재 정보</t>
  </si>
  <si>
    <t>file upload부분</t>
  </si>
  <si>
    <t>Single File</t>
  </si>
  <si>
    <t>Multi File</t>
  </si>
  <si>
    <t>Editable</t>
  </si>
  <si>
    <t>https://serversideup.net/uploading-files-vuejs-axios/</t>
  </si>
  <si>
    <t>file_object</t>
  </si>
  <si>
    <t>creator</t>
  </si>
  <si>
    <t>http://www.cdrf.co/3.1/rest_framework.viewsets/ModelViewSet.html#get_queryset</t>
  </si>
  <si>
    <t>(예시)</t>
  </si>
  <si>
    <t>구분</t>
  </si>
  <si>
    <t>시</t>
  </si>
  <si>
    <t>시분</t>
  </si>
  <si>
    <t>시분초</t>
  </si>
  <si>
    <t>조건</t>
  </si>
  <si>
    <t>datetime</t>
  </si>
  <si>
    <t>값</t>
  </si>
  <si>
    <t>건수</t>
  </si>
  <si>
    <t>count</t>
  </si>
  <si>
    <t>평균값</t>
  </si>
  <si>
    <t>average</t>
  </si>
  <si>
    <t>최대값</t>
  </si>
  <si>
    <t>max</t>
  </si>
  <si>
    <t>최소값</t>
  </si>
  <si>
    <t>min</t>
  </si>
  <si>
    <t>필요한 데이터</t>
  </si>
  <si>
    <t>      }]</t>
  </si>
  <si>
    <t>    },</t>
  </si>
  <si>
    <t>chartdata: {</t>
  </si>
  <si>
    <t>      labels: ['January', 'February', 'March', 'April', 'May', 'June', 'July', 'August', 'September', 'October', 'November', 'December'],</t>
  </si>
  <si>
    <t>      datasets: [{</t>
  </si>
  <si>
    <t>          label: 'My First dataset',</t>
  </si>
  <si>
    <t>          backgroundColor: 'rgb(255, 99, 132)',</t>
  </si>
  <si>
    <t>          borderColor: 'rgb(255, 99, 132)',</t>
  </si>
  <si>
    <t>          fill: false,</t>
  </si>
  <si>
    <t>          data: [1, 2, 3, 4, 5, 6, 1, 2, 3, 4, 5, 6],                </t>
  </si>
  <si>
    <t>data는 값</t>
  </si>
  <si>
    <t>label은 조건</t>
  </si>
  <si>
    <t>(비교시) 스케일이 같아야 한다.</t>
  </si>
  <si>
    <t>X</t>
  </si>
  <si>
    <t>Y</t>
  </si>
  <si>
    <t>request</t>
  </si>
  <si>
    <t>응답시간</t>
  </si>
  <si>
    <t>-- CASE1 : 시 - 건수
SELECT fdate, fhour, count(frequest) FROM public.loganalyzerapi_logdetail
where 
--logfile_id = 'e005c4ee-2df8-4c53-9d35-ec7bd7629b76' and 
fdatetime between '20191225220752' and '20201225220752'
group by fdate, fhour
order by fdate asc, fhour asc
-- CASE2 : 시분 - 건수
SELECT fdate, fhour, fminute, count(frequest) FROM public.loganalyzerapi_logdetail
where 
--logfile_id = 'e005c4ee-2df8-4c53-9d35-ec7bd7629b76' and 
fdatetime between '20191225220752' and '20201225220752'
group by fdate, fhour, fminute
order by fdate asc, fhour asc, fminute asc</t>
  </si>
  <si>
    <t>0703 피드백</t>
  </si>
  <si>
    <t>기능추가</t>
  </si>
  <si>
    <t>Detail Popup</t>
  </si>
  <si>
    <t>통계 상세(by Click)</t>
  </si>
  <si>
    <t>Bar/Stacked Bar</t>
  </si>
  <si>
    <t>통계 항목 중 Bar 그래프</t>
  </si>
  <si>
    <t>비교시
Scale 고정</t>
  </si>
  <si>
    <t>3 -&gt; 1</t>
  </si>
  <si>
    <t>2 -&gt; 1</t>
  </si>
  <si>
    <t>1 -&gt; 2</t>
  </si>
  <si>
    <t>2 -&gt; 3</t>
  </si>
  <si>
    <t>Default : 조건 필터링</t>
  </si>
  <si>
    <r>
      <rPr>
        <strike/>
        <sz val="11"/>
        <color theme="1"/>
        <rFont val="Calibri"/>
        <family val="2"/>
        <scheme val="minor"/>
      </rPr>
      <t xml:space="preserve">Visits Count  </t>
    </r>
    <r>
      <rPr>
        <sz val="11"/>
        <color theme="1"/>
        <rFont val="Calibri"/>
        <family val="2"/>
        <scheme val="minor"/>
      </rPr>
      <t>Top5 Requests</t>
    </r>
  </si>
  <si>
    <t>처리량 Top5</t>
  </si>
  <si>
    <t>제품명 조건 로그포맷 조회</t>
    <phoneticPr fontId="1" type="noConversion"/>
  </si>
  <si>
    <t>수정/추가 버튼 클릭 시 입력 팝업 생성</t>
    <phoneticPr fontId="1" type="noConversion"/>
  </si>
  <si>
    <t>수정/삭제는 확인 팝업</t>
    <phoneticPr fontId="1" type="noConversion"/>
  </si>
  <si>
    <t>조회결과 클릭 시 해당 제품 로그포맷 설명 출력</t>
    <phoneticPr fontId="1" type="noConversion"/>
  </si>
  <si>
    <t>Product</t>
    <phoneticPr fontId="1" type="noConversion"/>
  </si>
  <si>
    <t>Format String</t>
  </si>
  <si>
    <t>Description</t>
  </si>
  <si>
    <t>a</t>
  </si>
  <si>
    <t>Client IP address of the request.</t>
    <phoneticPr fontId="1" type="noConversion"/>
  </si>
  <si>
    <t>{c}a</t>
  </si>
  <si>
    <t>Underlying peer IP address of the connection.</t>
    <phoneticPr fontId="1" type="noConversion"/>
  </si>
  <si>
    <t>A</t>
  </si>
  <si>
    <t>Local IP-address.</t>
  </si>
  <si>
    <t>B</t>
  </si>
  <si>
    <t>Size of response in bytes, excluding HTTP headers.</t>
  </si>
  <si>
    <t>b</t>
  </si>
  <si>
    <t>Size of response in bytes, excluding HTTP headers. In CLF format, i.e. a '-' rather than a 0 when no bytes are sent.</t>
  </si>
  <si>
    <t>{VARNAME}C</t>
  </si>
  <si>
    <t>The contents of cookie VARNAME in the request sent to the server. Only version 0 cookies are fully supported.</t>
  </si>
  <si>
    <t>D</t>
  </si>
  <si>
    <t>The time taken to serve the request, in microseconds.</t>
    <phoneticPr fontId="1" type="noConversion"/>
  </si>
  <si>
    <t>{VARNAME}e</t>
  </si>
  <si>
    <t>The contents of the environment variable VARNAME.</t>
  </si>
  <si>
    <t>f</t>
  </si>
  <si>
    <t>Filename.</t>
    <phoneticPr fontId="1" type="noConversion"/>
  </si>
  <si>
    <t>h</t>
  </si>
  <si>
    <t>Remote hostname. Will log the IP address if HostnameLookups is set to Off, which is the default.</t>
    <phoneticPr fontId="1" type="noConversion"/>
  </si>
  <si>
    <t>{c}h</t>
  </si>
  <si>
    <t>Like h, but always reports on the hostname of the underlying TCP connection and not any modifications to the remote hostname by modules like mod_remoteip.</t>
  </si>
  <si>
    <t>H</t>
  </si>
  <si>
    <t>The request protocol.</t>
  </si>
  <si>
    <t>{VARNAME}i</t>
  </si>
  <si>
    <t>The contents of VARNAME: header line(s) in the request sent to the server. Changes made by other modules (e.g. mod_headers) affect this.</t>
    <phoneticPr fontId="1" type="noConversion"/>
  </si>
  <si>
    <t>k</t>
  </si>
  <si>
    <t>Number of keepalive requests handled on this connection.</t>
    <phoneticPr fontId="1" type="noConversion"/>
  </si>
  <si>
    <t>l</t>
  </si>
  <si>
    <t>Remote logname (from identd, if supplied). This will return a dash unless mod_ident is present and IdentityCheck is set On.</t>
  </si>
  <si>
    <t>L</t>
  </si>
  <si>
    <t>The request log ID from the error log (or '-' if nothing has been logged to the error log for this request). Look for the matching error log line to see what request caused what error.</t>
    <phoneticPr fontId="1" type="noConversion"/>
  </si>
  <si>
    <t>m</t>
  </si>
  <si>
    <t>The request method.</t>
  </si>
  <si>
    <t>{VARNAME}n</t>
  </si>
  <si>
    <t>The contents of note VARNAME from another module.</t>
  </si>
  <si>
    <t>{VARNAME}o</t>
  </si>
  <si>
    <t>The contents of VARNAME: header line(s) in the reply.</t>
  </si>
  <si>
    <t>p</t>
  </si>
  <si>
    <t>The canonical port of the server serving the request.</t>
  </si>
  <si>
    <t>{format}p</t>
  </si>
  <si>
    <t>The canonical port of the server serving the request, or the server's actual port, or the client's actual port. Valid formats are canonical, local, or remote.</t>
  </si>
  <si>
    <t>P</t>
  </si>
  <si>
    <t>The process ID of the child that serviced the request.</t>
  </si>
  <si>
    <t>{format}P</t>
  </si>
  <si>
    <t>The process ID or thread ID of the child that serviced the request. Valid formats are pid, tid, and hextid. hextid requires APR 1.2.0 or higher.</t>
  </si>
  <si>
    <t>q</t>
  </si>
  <si>
    <t>The query string (prepended with a ? if a query string exists, otherwise an empty string).</t>
  </si>
  <si>
    <t>r</t>
  </si>
  <si>
    <t>First line of request.</t>
  </si>
  <si>
    <t>The handler generating the response (if any).</t>
    <phoneticPr fontId="1" type="noConversion"/>
  </si>
  <si>
    <t>s</t>
  </si>
  <si>
    <t>Status. For requests that have been internally redirected, this is the status of the original request. Use &gt;s for the final status.</t>
  </si>
  <si>
    <t>t</t>
  </si>
  <si>
    <t>Time the request was received, in the format [18/Sep/2011:19:18:28 -0400]. The last number indicates the timezone offset from GMT</t>
    <phoneticPr fontId="1" type="noConversion"/>
  </si>
  <si>
    <t>{format}t</t>
  </si>
  <si>
    <t>The time, in the form given by format, which should be in an extended strftime(3) format (potentially localized).</t>
    <phoneticPr fontId="1" type="noConversion"/>
  </si>
  <si>
    <t>T</t>
  </si>
  <si>
    <t>The time taken to serve the request, in seconds.</t>
  </si>
  <si>
    <t>{UNIT}T</t>
  </si>
  <si>
    <t xml:space="preserve">The time taken to serve the request, in a time unit given by UNIT. </t>
    <phoneticPr fontId="1" type="noConversion"/>
  </si>
  <si>
    <t>u</t>
  </si>
  <si>
    <t>Remote user if the request was authenticated. May be bogus if return status (s) is 401 (unauthorized).</t>
  </si>
  <si>
    <t>The URL path requested, not including any query string.</t>
  </si>
  <si>
    <t>v</t>
  </si>
  <si>
    <t>The canonical ServerName of the server serving the request.</t>
  </si>
  <si>
    <t>V</t>
  </si>
  <si>
    <t>The server name according to the UseCanonicalName setting.</t>
  </si>
  <si>
    <t>Connection status when response is completed:</t>
  </si>
  <si>
    <t>Bytes received, including request and headers. Cannot be zero. You need to enable mod_logio to use this.</t>
  </si>
  <si>
    <t>O</t>
  </si>
  <si>
    <t>Bytes sent, including headers. May be zero in rare cases such as when a request is aborted before a response is sent. You need to enable mod_logio to use this.</t>
    <phoneticPr fontId="1" type="noConversion"/>
  </si>
  <si>
    <t>Bytes transferred (received and sent), including request and headers, cannot be zero. This is the combination of I and O. You need to enable mod_logio to use this.</t>
    <phoneticPr fontId="1" type="noConversion"/>
  </si>
  <si>
    <t>{VARNAME}^ti</t>
  </si>
  <si>
    <t>The contents of VARNAME: trailer line(s) in the request sent to the server.</t>
  </si>
  <si>
    <t>{VARNAME}^to</t>
  </si>
  <si>
    <t>The contents of VARNAME: trailer line(s) in the response sent from the server.</t>
  </si>
  <si>
    <t>HTTP Authenticated User. When the user name is not set, this field shows</t>
    <phoneticPr fontId="1" type="noConversion"/>
  </si>
  <si>
    <t>time_local</t>
    <phoneticPr fontId="1" type="noConversion"/>
  </si>
  <si>
    <t>local time in the Common Log Format</t>
    <phoneticPr fontId="1" type="noConversion"/>
  </si>
  <si>
    <t>full original request line</t>
    <phoneticPr fontId="1" type="noConversion"/>
  </si>
  <si>
    <t>response status</t>
    <phoneticPr fontId="1" type="noConversion"/>
  </si>
  <si>
    <t>number of bytes sent to a client, not counting the response header</t>
    <phoneticPr fontId="1" type="noConversion"/>
  </si>
  <si>
    <t>identifies the address of the URI which is linked to the resource being requested</t>
    <phoneticPr fontId="1" type="noConversion"/>
  </si>
  <si>
    <t>value of standard User Agent HTTP request field</t>
    <phoneticPr fontId="1" type="noConversion"/>
  </si>
  <si>
    <t>identifying the originating IP address of a client</t>
    <phoneticPr fontId="1" type="noConversion"/>
  </si>
  <si>
    <t>bytes_sent</t>
    <phoneticPr fontId="1" type="noConversion"/>
  </si>
  <si>
    <t>the number of bytes sent to a client</t>
    <phoneticPr fontId="1" type="noConversion"/>
  </si>
  <si>
    <t>connection</t>
    <phoneticPr fontId="1" type="noConversion"/>
  </si>
  <si>
    <t>connection serial number</t>
    <phoneticPr fontId="1" type="noConversion"/>
  </si>
  <si>
    <t>connection_requests</t>
    <phoneticPr fontId="1" type="noConversion"/>
  </si>
  <si>
    <t>the current number of requests made through a connection (1.1.18)</t>
    <phoneticPr fontId="1" type="noConversion"/>
  </si>
  <si>
    <t>msec</t>
    <phoneticPr fontId="1" type="noConversion"/>
  </si>
  <si>
    <t>time in seconds with a milliseconds resolution at the time of the log write</t>
  </si>
  <si>
    <t>pipe</t>
    <phoneticPr fontId="1" type="noConversion"/>
  </si>
  <si>
    <t>“p” if request was pipelined, “.” otherwise</t>
  </si>
  <si>
    <t>request_length</t>
    <phoneticPr fontId="1" type="noConversion"/>
  </si>
  <si>
    <t>request length (including request line, header, and request body)</t>
  </si>
  <si>
    <t>request processing time in seconds with a milliseconds resolution; time elapsed between the first bytes were read from the client and the log write after the last bytes were sent to the client</t>
    <phoneticPr fontId="1" type="noConversion"/>
  </si>
  <si>
    <t>time_iso8601</t>
    <phoneticPr fontId="1" type="noConversion"/>
  </si>
  <si>
    <t>local time in the ISO 8601 standard format</t>
  </si>
  <si>
    <t>local time in the Common Log Format</t>
  </si>
  <si>
    <t>IIS-W3C</t>
    <phoneticPr fontId="1" type="noConversion"/>
  </si>
  <si>
    <t>date</t>
  </si>
  <si>
    <t>The date on which the activity occurred.</t>
  </si>
  <si>
    <t>time</t>
  </si>
  <si>
    <t>The time, in coordinated universal time (UTC), at which the activity occurred.</t>
  </si>
  <si>
    <t>s-sitename</t>
  </si>
  <si>
    <t>The Internet service name and instance number that was running on the client.</t>
  </si>
  <si>
    <t>s-computername</t>
  </si>
  <si>
    <t>The name of the server on which the log file entry was generated.</t>
  </si>
  <si>
    <t>s-ip</t>
  </si>
  <si>
    <t>The IP address of the server on which the log file entry was generated.</t>
  </si>
  <si>
    <t>cs-method</t>
  </si>
  <si>
    <t>The requested verb, for example, a GET method.</t>
  </si>
  <si>
    <t>cs-uri-stem</t>
  </si>
  <si>
    <t>The target of the verb, for example, Default.htm.</t>
  </si>
  <si>
    <t>cs-uri-query</t>
  </si>
  <si>
    <t>The query, if any, that the client was trying to perform. A Universal Resource Identifier (URI) query is necessary only for dynamic pages.</t>
  </si>
  <si>
    <t>s-port</t>
  </si>
  <si>
    <t>The server port number that is configured for the service.</t>
  </si>
  <si>
    <t>cs-username</t>
  </si>
  <si>
    <t>The name of the authenticated user that accessed the server. Anonymous users are indicated by a hyphen.</t>
  </si>
  <si>
    <t>c-ip</t>
  </si>
  <si>
    <t>The IP address of the client that made the request.</t>
  </si>
  <si>
    <t>cs-version</t>
  </si>
  <si>
    <t>The HTTP protocol version that the client used.</t>
  </si>
  <si>
    <t>cs(User-Agent)</t>
  </si>
  <si>
    <t>The browser type that the client used.</t>
  </si>
  <si>
    <t>cs(Cookie)</t>
  </si>
  <si>
    <t>The content of the cookie sent or received, if any.</t>
  </si>
  <si>
    <t>The site that the user last visited. This site provided a link to the current site.</t>
  </si>
  <si>
    <t>cs-host</t>
  </si>
  <si>
    <t>The host header name, if any.</t>
  </si>
  <si>
    <t>sc-status</t>
  </si>
  <si>
    <t>The HTTP status code.</t>
  </si>
  <si>
    <t>sc-substatus</t>
  </si>
  <si>
    <t>The substatus error code.</t>
  </si>
  <si>
    <t>sc-win32-status</t>
  </si>
  <si>
    <t>The Windows status code.</t>
  </si>
  <si>
    <t>sc-bytes</t>
  </si>
  <si>
    <t>The number of bytes sent by the server.</t>
  </si>
  <si>
    <t>cs-bytes</t>
  </si>
  <si>
    <t>The number of bytes received and processed by the server.</t>
  </si>
  <si>
    <t>time-taken</t>
  </si>
  <si>
    <t>The length of time that the action took, in milliseconds.</t>
  </si>
  <si>
    <t>streamid</t>
  </si>
  <si>
    <t>The Stream Id.</t>
  </si>
  <si>
    <t>IIS-NCSA</t>
    <phoneticPr fontId="1" type="noConversion"/>
  </si>
  <si>
    <t>Remote host address</t>
  </si>
  <si>
    <t>Remote log name</t>
  </si>
  <si>
    <t>Not used. This value is always a hyphen.</t>
  </si>
  <si>
    <t>User name</t>
  </si>
  <si>
    <t>The name of the authenticated user that accessed the server. Anonymous users are indicated by a hyphen. The best practice is for the application always to provide the user name.</t>
  </si>
  <si>
    <t>Date, time, and Greenwich mean time (GMT) offset</t>
  </si>
  <si>
    <t>The local date and time at which the activity occurred. The offset from Greenwich mean time is also indicated.</t>
  </si>
  <si>
    <t>Request and Protocol version</t>
  </si>
  <si>
    <t>Service status code</t>
  </si>
  <si>
    <t>The HTTP status code. (A value of 200 indicates that the request completed successfully.)</t>
  </si>
  <si>
    <t>Bytes sent</t>
    <phoneticPr fontId="1" type="noConversion"/>
  </si>
  <si>
    <t xml:space="preserve"> The number of bytes sent by the server.</t>
    <phoneticPr fontId="1" type="noConversion"/>
  </si>
  <si>
    <t>IIS</t>
    <phoneticPr fontId="1" type="noConversion"/>
  </si>
  <si>
    <t>Client IP address</t>
  </si>
  <si>
    <t>The local time at which the activity occurred.</t>
  </si>
  <si>
    <t>Service and instance</t>
  </si>
  <si>
    <t>Server name</t>
  </si>
  <si>
    <t>Server IP address</t>
  </si>
  <si>
    <t>Time taken</t>
  </si>
  <si>
    <t>Client bytes sent</t>
  </si>
  <si>
    <t>The number of bytes sent by the client.</t>
  </si>
  <si>
    <t>Server bytes sent</t>
  </si>
  <si>
    <t>A value of 200 indicates that the request was fulfilled successfully.</t>
  </si>
  <si>
    <t>Windows status code</t>
  </si>
  <si>
    <t>A value of 0 (zero) indicates that the request was fulfilled successfully.</t>
  </si>
  <si>
    <t>Request type</t>
  </si>
  <si>
    <t>The request verb.</t>
  </si>
  <si>
    <t>Target of operation</t>
  </si>
  <si>
    <t>Parameters</t>
  </si>
  <si>
    <t>The parameters that are passed to a scrip.</t>
  </si>
  <si>
    <t>https://httpd.apache.org/docs/2.4/mod/mod_log_config.html</t>
  </si>
  <si>
    <t>https://nginx.org/en/docs/http/ngx_http_log_module.html#log_format</t>
  </si>
  <si>
    <t>https://docs.microsoft.com/en-us/windows/win32/http/iis-logging</t>
  </si>
  <si>
    <t>불러오기 
기능관련</t>
  </si>
  <si>
    <t>https://docs.djangoproject.com/en/1.8/ref/models/database-functions/</t>
  </si>
  <si>
    <t>추가(07/15)</t>
  </si>
  <si>
    <t>파일포맷</t>
  </si>
  <si>
    <t>파일크기</t>
  </si>
  <si>
    <t>파일구분</t>
  </si>
  <si>
    <t>mposlogs</t>
  </si>
  <si>
    <t>access_log-2019-02-21</t>
  </si>
  <si>
    <t>로그구분</t>
  </si>
  <si>
    <t>apache</t>
  </si>
  <si>
    <t>216KB</t>
  </si>
  <si>
    <t>"%v, %{X-Forwarded-For}i %l %u %t \"%r\" %&gt;s %b" common</t>
  </si>
  <si>
    <t>비고</t>
  </si>
  <si>
    <t>Virtual Host</t>
  </si>
  <si>
    <r>
      <t>서버가 수신한 요청에서 </t>
    </r>
    <r>
      <rPr>
        <i/>
        <sz val="11"/>
        <color rgb="FF003366"/>
        <rFont val="Courier New"/>
        <family val="3"/>
      </rPr>
      <t>Foobar</t>
    </r>
    <r>
      <rPr>
        <sz val="11"/>
        <color rgb="FF003366"/>
        <rFont val="Courier New"/>
        <family val="3"/>
      </rPr>
      <t>:</t>
    </r>
    <r>
      <rPr>
        <sz val="11"/>
        <color rgb="FF003366"/>
        <rFont val="Arial"/>
        <family val="2"/>
      </rPr>
      <t> 헤더의 내용.
※ 예 : X-Forwarded-For</t>
    </r>
  </si>
  <si>
    <t>samplelog</t>
  </si>
  <si>
    <t>'%h %l %u %t \"%r\" %&gt;s %b'</t>
  </si>
  <si>
    <t>common</t>
  </si>
  <si>
    <t>테스트</t>
  </si>
  <si>
    <t>HOM1-W-F11_Samsungcard</t>
  </si>
  <si>
    <t>acslog</t>
  </si>
  <si>
    <t>%h %l %u %t "%r" %s %b "%{Referer}i" "%{Cookie}i" %D</t>
  </si>
  <si>
    <t>access-itct-20200702.log</t>
  </si>
  <si>
    <t>12MB</t>
  </si>
  <si>
    <t>이슈</t>
  </si>
  <si>
    <t>HOM1-W-F11.log.chunk001.Test</t>
  </si>
  <si>
    <t>10MB</t>
  </si>
  <si>
    <t>"%h %{X-Forwarded-For}i %l %u %v %t \"%r\" %&gt;s %B \"%{Referer}i\" \"%{User-Agent}i\"
\"%{JSESSIONID}C\" %a %{env}e %f %p %D" combined</t>
  </si>
  <si>
    <t>900KB</t>
  </si>
  <si>
    <t>access_log_900K</t>
  </si>
  <si>
    <t>%{X-Forwarded-For}I 에 여러 IP가나오는 부분을 해결해야 한다.
※ 오류가 난 부분을 별도로 뺄 수 있는가? 후처리</t>
  </si>
  <si>
    <t>100MB</t>
  </si>
  <si>
    <t>500MB</t>
  </si>
  <si>
    <t>1GB</t>
  </si>
  <si>
    <t>2GB</t>
  </si>
  <si>
    <t>4GB</t>
  </si>
  <si>
    <t>8GB</t>
  </si>
  <si>
    <t>UI에서 파일 업로드가 완료되는 시간도 고려해야 한다.</t>
  </si>
  <si>
    <t>DB 업로드시간(s)
파일업로드 이후..</t>
  </si>
  <si>
    <t>Single</t>
  </si>
  <si>
    <t>HOM1-W-F11.log.chunk100MB</t>
  </si>
  <si>
    <t>Duration to create temporary csv : 13.121999025344849
To DB, Total Duration : 18.975000381469727</t>
  </si>
  <si>
    <t>300MB</t>
  </si>
  <si>
    <t>Duration to create temporary csv : 36.633187770843506
To DB, Total Duration : 56.910199880599976</t>
  </si>
  <si>
    <t>HOM1-W-F11.log.chunk500MB</t>
  </si>
  <si>
    <t>Duration to create temporary csv : 60.75799870491028
To DB, Total Duration : 96.19961142539978</t>
  </si>
  <si>
    <t>HOM1-W-F11.log.1GB</t>
  </si>
  <si>
    <t>Duration to create temporary csv : 123.52013039588928
To DB, Total Duration : 224.22548174858093</t>
  </si>
  <si>
    <t>2656304 Lines</t>
  </si>
  <si>
    <t>5312608 Lines</t>
  </si>
  <si>
    <t>HOM1-W-F11.log.2GB</t>
  </si>
  <si>
    <t>HOM1-W-F11.log.chunk300MB</t>
  </si>
  <si>
    <t>CPU, Memory 증설 필요</t>
  </si>
  <si>
    <t>MP</t>
  </si>
  <si>
    <t>TODO</t>
  </si>
  <si>
    <t>process 수</t>
  </si>
  <si>
    <t>## df 나누어 읽기 : 총 작업 시간 15.459</t>
  </si>
  <si>
    <t>## df 나누어 읽기 : 총 작업 시간 18.069</t>
  </si>
  <si>
    <t>## df 나누어 읽기 : 총 작업 시간 46.7167</t>
  </si>
  <si>
    <t>파일생성 시간</t>
  </si>
  <si>
    <t>## df 나누어 읽기 : 총 작업 시간 55.5753</t>
  </si>
  <si>
    <t>## df 나누어 읽기 : 총 작업 시간 107.0229</t>
  </si>
  <si>
    <t>## df 나누어 읽기 : 총 작업 시간 91.2467</t>
  </si>
  <si>
    <t>7/17/2020
7/20/2020</t>
  </si>
  <si>
    <t>11677321 Lines</t>
  </si>
  <si>
    <t>## df 나누어 읽기 : 총 작업 시간 504.1735</t>
  </si>
  <si>
    <t>## df 나누어 읽기 : 총 작업 시간 408.6061</t>
  </si>
  <si>
    <t>## df 나누어 읽기 : 총 작업 시간 46.4991</t>
  </si>
  <si>
    <t>## df 나누어 읽기 : 총 작업 시간 87.7165</t>
  </si>
  <si>
    <t>1GB 네트웍시간</t>
  </si>
  <si>
    <t>17s</t>
  </si>
  <si>
    <t>dataframe 가공</t>
  </si>
  <si>
    <t>dataframe으로 읽기(from_csv)</t>
  </si>
  <si>
    <t>csv 파일 생성(to_csv)</t>
  </si>
  <si>
    <t>postgres copy 로 INSERT</t>
  </si>
  <si>
    <t>INSERT
FLOW</t>
  </si>
  <si>
    <t>Duration to create temporary csv : 54.79590201377869
To DB, Total Duration : 92.77517986297607</t>
  </si>
  <si>
    <t>Memory Error</t>
  </si>
  <si>
    <t>Duration to create temporary csv : 241.90100407600403
To DB, Total Duration : 626.6962890625</t>
  </si>
  <si>
    <t>1GB
(기준)</t>
  </si>
  <si>
    <t>2656304 Lines, , 파일 전송시간 약 2.6m(150s)
[Errno 28] No space left on device</t>
  </si>
  <si>
    <t>차후 고려</t>
  </si>
  <si>
    <t>664076 Lines
* goaccess와 비슷한 수준, apache log viewer는 라인 한계 존재
  (12172 라인 등, 숫자는 변경됨)</t>
  </si>
  <si>
    <r>
      <t xml:space="preserve">1328152  Lines, , 파일 전송시간 약 53s
※ Memory Error 떨어짐, 메모리 확보 후 테스트 재진행
</t>
    </r>
    <r>
      <rPr>
        <b/>
        <sz val="11"/>
        <color rgb="FFFF0000"/>
        <rFont val="Calibri"/>
        <family val="2"/>
        <scheme val="minor"/>
      </rPr>
      <t>※ 1GB 이상일때 MP 수행 필요한가? - 성능상 이점이 적음</t>
    </r>
  </si>
  <si>
    <t>8G가능(combined IO 기준 480s)</t>
  </si>
  <si>
    <t>Parsing Only</t>
  </si>
  <si>
    <t>MP 테스트</t>
  </si>
  <si>
    <t>File I/O</t>
  </si>
  <si>
    <t>CPU 연산 : MP 효과 구간</t>
  </si>
  <si>
    <t>Network + DB I/O</t>
  </si>
  <si>
    <t>목표시간 : 1GB 기준, 300s (5m) 이내</t>
  </si>
  <si>
    <t>StringIO 테스트</t>
  </si>
  <si>
    <t>access log 파일 업로드</t>
  </si>
  <si>
    <t>Network</t>
  </si>
  <si>
    <t>차트 Mapping</t>
  </si>
  <si>
    <t>시, 시분, 시분초 평균
Line</t>
  </si>
  <si>
    <t>Stacked Bar</t>
  </si>
  <si>
    <t>20x/40x 및 50x 비율</t>
  </si>
  <si>
    <t>Status 오류비율</t>
  </si>
  <si>
    <t>N/A</t>
  </si>
  <si>
    <t>없음</t>
  </si>
  <si>
    <t>Next</t>
  </si>
  <si>
    <t>Prev(기본화면)</t>
  </si>
  <si>
    <t>TAB번호</t>
  </si>
  <si>
    <t>Next(Step2 or Step3)</t>
  </si>
  <si>
    <t>Bar, Pie</t>
  </si>
  <si>
    <t>시간축</t>
  </si>
  <si>
    <t>1. vu-charts zoom plugin 사용</t>
  </si>
  <si>
    <t>2. ApexChart (ApexCharts, Vue-ApexCharts ** MIT)</t>
  </si>
  <si>
    <t>제약사항 : Chart Interaction (Zoom) - 극복방안</t>
  </si>
  <si>
    <t>https://github.com/chartjs/chartjs-plugin-zoom</t>
  </si>
  <si>
    <t>Line Zoom</t>
  </si>
  <si>
    <t>Line 차트에서 Zoom 기능</t>
  </si>
  <si>
    <t>Request Count</t>
  </si>
  <si>
    <t>Visitor</t>
  </si>
  <si>
    <t>IP로 distinct 한 것</t>
  </si>
  <si>
    <t>Visits Count  Top5</t>
  </si>
  <si>
    <t>Top User Agents</t>
  </si>
  <si>
    <t>추가완료</t>
  </si>
  <si>
    <t>최다접속 Referers</t>
  </si>
  <si>
    <t>의미가 없다</t>
  </si>
  <si>
    <t>LogFormat "%h %l %u %t \"%r\" %&gt;s %b" common</t>
  </si>
  <si>
    <t>vue-loading-overlay</t>
  </si>
  <si>
    <t>vue-ellipse-progress</t>
  </si>
  <si>
    <t>Text 및 Time 가능, 다양한 형태, 사용 간편</t>
  </si>
  <si>
    <t xml:space="preserve">https://biigpongsatorn.github.io/#/vue-element-loading </t>
  </si>
  <si>
    <t>이걸로 선택</t>
  </si>
  <si>
    <t>MIT License</t>
  </si>
  <si>
    <t>https://github.com/biigpongsatorn/vue-slide-bar</t>
  </si>
  <si>
    <t>Loop로 해결</t>
  </si>
  <si>
    <t>완료 - Table명 : logdetail_"project_id"</t>
  </si>
  <si>
    <t>https://pypi.org/project/django-dynamic-model/</t>
  </si>
  <si>
    <t>https://github.com/rvinzent/django-dynamic-models/wiki/Introduction</t>
  </si>
  <si>
    <t>1 -&gt; 2 -&gt; 3</t>
  </si>
  <si>
    <t>2020-09-31</t>
  </si>
  <si>
    <t>처리시간 3초 이상</t>
  </si>
  <si>
    <t>4월1일</t>
  </si>
  <si>
    <t>전력식 파트장님</t>
  </si>
  <si>
    <t>8월6일</t>
  </si>
  <si>
    <t>리뷰회의</t>
  </si>
  <si>
    <t>피드백</t>
  </si>
  <si>
    <t xml:space="preserve">1)(완료) 메뉴 순서 변경 - Analysis Detail Comparison 으로 변경 </t>
  </si>
  <si>
    <t xml:space="preserve">2)(완료) Analysis 차트를 맨 위로 올리기 - highlight 될 부분은 어디인가? 실제 사용시에... </t>
  </si>
  <si>
    <t>-&gt; 다시 생각해보자. 기존게 나을 수 있다.</t>
  </si>
  <si>
    <t>3) (TODO) 통계치에 % 추가</t>
  </si>
  <si>
    <t>4) (완료) Top N으로 수정 - 선택할 수 있도록</t>
  </si>
  <si>
    <t>4.1) (완료) 전체 건수는 Information으로 옮기자.</t>
  </si>
  <si>
    <t xml:space="preserve">  -&gt;  var url = "http://127.0.0.1:8000/logdetail/statistics_top"+this.statisticsRow+"/"  // N</t>
  </si>
  <si>
    <t xml:space="preserve">  -&gt; type = 0</t>
  </si>
  <si>
    <t>5) (완료) 로딩Bar 약 10분 걸릴 예정임 - 멘트</t>
  </si>
  <si>
    <t xml:space="preserve">  - https://biigpongsatorn.github.io/#/vue-element-loading</t>
  </si>
  <si>
    <t>6) (완료) substr 적용하여 UI 조정</t>
  </si>
  <si>
    <t xml:space="preserve">  -&gt; GridTable (완료)</t>
  </si>
  <si>
    <t xml:space="preserve">  -&gt; Statistic 부분 (완료)</t>
  </si>
  <si>
    <t>7)(완료) 실제 데이터 추가 수집 및 테스트 =&gt; ACS 추가 수집</t>
  </si>
  <si>
    <t>8) 계속 사용해서 활용성 추가</t>
  </si>
  <si>
    <t>9)(완료)Notice 부분 추가 (Issue Tracking)</t>
  </si>
  <si>
    <t>(완료) Comparison 화면 UI정리</t>
  </si>
  <si>
    <t>(완료) 멀티파일 지원코딩</t>
  </si>
  <si>
    <t xml:space="preserve">1. (완료) start_end 부분 project_id로 가져오기 </t>
  </si>
  <si>
    <t>2. (완료) Tab3에서 파일 목록 및 전체 파일의 start/end date 가져오기</t>
  </si>
  <si>
    <t>3. (완료) Search시 왜 파일 1개의 결과만 가져오는지 확인필요</t>
  </si>
  <si>
    <t xml:space="preserve">   (기존) logfile_id로 되어 있다.</t>
  </si>
  <si>
    <t xml:space="preserve">   (변경) project_id 하위의 logfile_id 가져와야 한다. HOW? </t>
  </si>
  <si>
    <t xml:space="preserve">          logfile_id 개수만큼 Loop를 돌아서 result[]에 담아야 한다.</t>
  </si>
  <si>
    <t xml:space="preserve">   (완료) logdetail 중복생성 방지</t>
  </si>
  <si>
    <t>4. (완료) Notice 부분, 1개</t>
  </si>
  <si>
    <t>EN Only</t>
  </si>
  <si>
    <t>불필요</t>
  </si>
  <si>
    <t>완료</t>
  </si>
  <si>
    <t>예정</t>
  </si>
  <si>
    <t>9월2일</t>
  </si>
  <si>
    <t>리뷰회의 피드백</t>
  </si>
  <si>
    <t>주요 Feature Metric 부분 강조 - Value Added한 부분 - 장표내용</t>
  </si>
  <si>
    <t>서버 올리고 베타테스트 준비가능? - 9월 - 가능여부 보고</t>
  </si>
  <si>
    <t>Graph Chart</t>
  </si>
  <si>
    <t>3-1 Request, Time-Taken 부분 하나로 통일</t>
  </si>
  <si>
    <t>3-2 Y-axis TPS로 Scale 일치</t>
  </si>
  <si>
    <t>사업부</t>
  </si>
  <si>
    <t>Detail</t>
  </si>
  <si>
    <t>4-1 전체로그 출력</t>
  </si>
  <si>
    <t>4-2 Notice 등 Count에 대한 세부내역 출력 가능하도록</t>
  </si>
  <si>
    <t>통계치에 % 추가</t>
  </si>
  <si>
    <t>작명(Naming)</t>
  </si>
  <si>
    <t>3-3 Statics files, 처리량(Bytes) 추가</t>
  </si>
  <si>
    <t xml:space="preserve"> </t>
  </si>
  <si>
    <t>TimeTaken 부분 UI 수정 - 단위(D/T)</t>
  </si>
  <si>
    <t>fbyte</t>
  </si>
  <si>
    <t>fstatic</t>
  </si>
  <si>
    <t>fextension</t>
  </si>
  <si>
    <t>평균 응답시간(주어진 기간)</t>
  </si>
  <si>
    <t>평균 처리량(주어진 기간)</t>
  </si>
  <si>
    <t>Top N fextension</t>
  </si>
  <si>
    <t>Top N fbyte</t>
  </si>
  <si>
    <t>Statistic</t>
  </si>
  <si>
    <t>Chart</t>
  </si>
  <si>
    <t>Chart제거</t>
  </si>
  <si>
    <t>static file 크기 2MB 이상</t>
  </si>
  <si>
    <t>임계치 테이블 필요</t>
  </si>
  <si>
    <t>https://www.w3.org/TR/WD-logfile.html</t>
  </si>
  <si>
    <t>https://tomcat.apache.org/tomcat-8.0-doc/config/valve.html#Access_Log_Valve</t>
  </si>
  <si>
    <t>%a</t>
  </si>
  <si>
    <t>%A</t>
  </si>
  <si>
    <t>%b</t>
  </si>
  <si>
    <t>%B</t>
  </si>
  <si>
    <t>%h</t>
  </si>
  <si>
    <t>%H</t>
  </si>
  <si>
    <t>%l</t>
  </si>
  <si>
    <t>%m</t>
  </si>
  <si>
    <t>%p</t>
  </si>
  <si>
    <t>%q</t>
  </si>
  <si>
    <t>%r</t>
  </si>
  <si>
    <t>%s</t>
  </si>
  <si>
    <t>%S</t>
  </si>
  <si>
    <t>%t</t>
  </si>
  <si>
    <t>%u</t>
  </si>
  <si>
    <t>%U</t>
  </si>
  <si>
    <t>%v</t>
  </si>
  <si>
    <t>%D</t>
  </si>
  <si>
    <t>%T</t>
  </si>
  <si>
    <t>%F</t>
  </si>
  <si>
    <t>%I</t>
  </si>
  <si>
    <t>Remote IP address</t>
  </si>
  <si>
    <t>Local IP address</t>
  </si>
  <si>
    <t>Bytes sent, excluding HTTP headers, or '-' if zero</t>
  </si>
  <si>
    <t>Bytes sent, excluding HTTP headers</t>
  </si>
  <si>
    <t>Remote host name (or IP address if enableLookups for the connector is false)</t>
  </si>
  <si>
    <t>Request protocol</t>
  </si>
  <si>
    <t>Remote logical username from identd (always returns '-')</t>
  </si>
  <si>
    <t>Request method (GET, POST, etc.)</t>
  </si>
  <si>
    <t>Local port on which this request was received. See also %{xxx}p below.</t>
  </si>
  <si>
    <t>Query string (prepended with a '?' if it exists)</t>
  </si>
  <si>
    <t>First line of the request (method and request URI)</t>
  </si>
  <si>
    <t>HTTP status code of the response</t>
  </si>
  <si>
    <t>User session ID</t>
  </si>
  <si>
    <t>Date and time, in Common Log Format</t>
  </si>
  <si>
    <t>Remote user that was authenticated (if any), else '-'</t>
  </si>
  <si>
    <t>Requested URL path</t>
  </si>
  <si>
    <t>Local server name</t>
  </si>
  <si>
    <t>Time taken to process the request, in millis</t>
  </si>
  <si>
    <t>Time taken to process the request, in seconds</t>
  </si>
  <si>
    <t>Time taken to commit the response, in millis</t>
  </si>
  <si>
    <t>Current request thread name (can compare later with stacktraces)</t>
  </si>
  <si>
    <t>Tomcat</t>
  </si>
  <si>
    <t>apache 동일여부</t>
  </si>
  <si>
    <t>추가기능</t>
  </si>
  <si>
    <t>멀티파일 업로드</t>
  </si>
  <si>
    <t>대용량 데이터 Split 처리</t>
  </si>
  <si>
    <t>신규등록</t>
  </si>
  <si>
    <t>기존 프로젝트 가져오기</t>
  </si>
  <si>
    <t>분석화면</t>
  </si>
  <si>
    <t>순서(시-&gt;분-&gt;초)</t>
  </si>
  <si>
    <t>디테일 화면</t>
  </si>
  <si>
    <t>로그포맷 등록</t>
  </si>
  <si>
    <t>비교화면-통계</t>
  </si>
  <si>
    <t>비교화면-차트</t>
  </si>
  <si>
    <t>소개자료</t>
  </si>
  <si>
    <t>파일추가</t>
  </si>
  <si>
    <t>압축파일</t>
  </si>
  <si>
    <t>압축파일 권장</t>
  </si>
  <si>
    <t xml:space="preserve">파일은 1GB단위로 </t>
  </si>
  <si>
    <t xml:space="preserve">커스터마이징 </t>
  </si>
  <si>
    <t>필요한 화면만</t>
  </si>
  <si>
    <t>머신러닝</t>
  </si>
  <si>
    <t>Notice</t>
  </si>
  <si>
    <t>로그포맷지원</t>
  </si>
  <si>
    <t>Webtob</t>
  </si>
  <si>
    <t>Nginx, IIS</t>
  </si>
  <si>
    <t>관리기능 생성</t>
  </si>
  <si>
    <t>Linesplitter</t>
  </si>
  <si>
    <t>메뉴얼 시나리오</t>
  </si>
  <si>
    <t>성능테스트</t>
  </si>
  <si>
    <t xml:space="preserve">Spinner </t>
  </si>
  <si>
    <t>로딩문자 수정</t>
  </si>
  <si>
    <t>https://docs.microsoft.com/en-us/windows/win32/http/ncsa-logging
LogFormat "%h %l %u %t \"%r\" %&gt;s %b" common과 동일</t>
  </si>
  <si>
    <t>Priority</t>
  </si>
  <si>
    <t>W3C Mapping with apache</t>
  </si>
  <si>
    <t>* IIS 로그</t>
  </si>
  <si>
    <t>1) W3C 이면 추가처리 필요 (Default, LogFormat 불필요 - 파일에서 읽을 수 있다.)</t>
  </si>
  <si>
    <t xml:space="preserve">  - date+time</t>
  </si>
  <si>
    <t xml:space="preserve">  - cs-method cs-uri-stem cs-uri-query </t>
  </si>
  <si>
    <t>2) NCSA</t>
  </si>
  <si>
    <t>이면 apache와 동일 로직(LogFormat 불필요, 정해져 있다.)</t>
  </si>
  <si>
    <t>request_time</t>
  </si>
  <si>
    <t>http_x_forwarded_for</t>
  </si>
  <si>
    <t>remote_user</t>
  </si>
  <si>
    <t>remote_addr</t>
  </si>
  <si>
    <t>time_local</t>
  </si>
  <si>
    <t>http_user_agent</t>
  </si>
  <si>
    <t>http_referer</t>
  </si>
  <si>
    <t>status</t>
  </si>
  <si>
    <t>body_bytes_sent</t>
  </si>
  <si>
    <t>cs(Referer)</t>
  </si>
  <si>
    <t>::1</t>
  </si>
  <si>
    <t>GET</t>
  </si>
  <si>
    <t>/</t>
  </si>
  <si>
    <t>-</t>
  </si>
  <si>
    <t>Mozilla/5.0+(Windows+NT+10.0;+Win64;+x64)+AppleWebKit/537.36+(KHTML,+like+Gecko)+Chrome/86.0.4240.111+Safari/537.36</t>
  </si>
  <si>
    <t>IIS-W3C</t>
  </si>
  <si>
    <t>Metrics</t>
  </si>
  <si>
    <t>metric_id(PK)</t>
  </si>
  <si>
    <t>Metric 구분</t>
  </si>
  <si>
    <t>metric_kind</t>
  </si>
  <si>
    <t>metric_definition</t>
  </si>
  <si>
    <t>Metric 설명</t>
  </si>
  <si>
    <t>Metric 단위</t>
  </si>
  <si>
    <t>metric_unit</t>
  </si>
  <si>
    <t>metric_min</t>
  </si>
  <si>
    <t>metric_max</t>
  </si>
  <si>
    <t>사용</t>
  </si>
  <si>
    <t>IntegerField</t>
  </si>
  <si>
    <t>사용(동일)</t>
  </si>
  <si>
    <t>%</t>
  </si>
  <si>
    <t>TPS</t>
  </si>
  <si>
    <t>범위(Scope)</t>
  </si>
  <si>
    <t>임계값(Threshold)</t>
  </si>
  <si>
    <t>logmaster_metric</t>
  </si>
  <si>
    <t>logmaster_metric_id(PK)</t>
  </si>
  <si>
    <t>project_id</t>
  </si>
  <si>
    <t>metric_id</t>
  </si>
  <si>
    <t>metric_filter</t>
  </si>
  <si>
    <t>Metric 적용필터</t>
  </si>
  <si>
    <t>millis, micros</t>
  </si>
  <si>
    <t>https://github.com/constkhi/vue-simple-alert</t>
  </si>
  <si>
    <t>fmillis</t>
  </si>
  <si>
    <t>m초</t>
  </si>
  <si>
    <t>CharField
(3)</t>
  </si>
  <si>
    <t>xxx</t>
  </si>
  <si>
    <t>logdetailApp</t>
  </si>
  <si>
    <t>일단 같이사용</t>
  </si>
  <si>
    <t>추가(2021/05/10)</t>
  </si>
  <si>
    <t>server</t>
  </si>
  <si>
    <t>instance</t>
  </si>
  <si>
    <t>서버명</t>
  </si>
  <si>
    <t>인스턴스명</t>
  </si>
  <si>
    <t>format_kind</t>
  </si>
  <si>
    <t>App</t>
  </si>
  <si>
    <t>시간포맷</t>
  </si>
  <si>
    <t>Log4j 관련</t>
  </si>
  <si>
    <t>%d -&gt; %d{DEFAULT} : 예) 2012-11-02 14:34:02,123
  =&gt; 즉, %d{yyyy-MM-dd HH:mm:ss.SSS}  =&gt; ([1-9]{4}):([0-9]{2}):([0-9]{2})\s+([0-9]{2}):([0-9]{2}):([0-9]{2})           -&gt; time_format_2
%d{yyyy-MM-dd HH:mm:ss}     =&gt; ([1-9]{4}):([0-9]{2}):([0-9]{2})\s+([0-9]{2}):([0-9]{2}):([0-9]{2}) -&gt; time_format_2
%d{HH:mm:ss}       =&gt; ([0-9]{2}):([0-9]{2}):([0-9]{2}) 가능 -&gt; time_format_1
%d{HH:mm:ss.SSS}      =&gt; ([0-9]{2}):([0-9]{2}):([0-9]{2}) 가능 -&gt; time_format_1
※ 일단, time_format_1, time_format_2만 지원한다.
https://logging.apache.org/log4j/2.x/manual/layouts.html#PatternLayout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</si>
</sst>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월&quot;\ dd&quot;일&quot;"/>
  </numFmts>
  <fonts count="47">
    <font>
      <sz val="11"/>
      <color theme="1"/>
      <name val="Calibri"/>
      <family val="2"/>
      <scheme val="minor"/>
    </font>
    <font>
      <sz val="8"/>
      <name val="Calibri"/>
      <family val="3"/>
      <charset val="129"/>
      <scheme val="minor"/>
    </font>
    <font>
      <strike/>
      <sz val="11"/>
      <color theme="1"/>
      <name val="Calibri"/>
      <family val="2"/>
      <scheme val="minor"/>
    </font>
    <font>
      <strike/>
      <sz val="11"/>
      <color theme="1"/>
      <name val="Calibri"/>
      <family val="3"/>
      <charset val="129"/>
      <scheme val="minor"/>
    </font>
    <font>
      <b/>
      <sz val="11"/>
      <color rgb="FFFF0000"/>
      <name val="Arial"/>
      <family val="2"/>
    </font>
    <font>
      <sz val="11"/>
      <color rgb="FFFF0000"/>
      <name val="Arial"/>
      <family val="2"/>
    </font>
    <font>
      <b/>
      <sz val="11"/>
      <color rgb="FFFF0000"/>
      <name val="Calibri"/>
      <family val="3"/>
      <charset val="129"/>
      <scheme val="minor"/>
    </font>
    <font>
      <sz val="12"/>
      <color rgb="FF333333"/>
      <name val="Arial"/>
      <family val="2"/>
    </font>
    <font>
      <sz val="11"/>
      <color rgb="FFC7254E"/>
      <name val="Consolas"/>
      <family val="3"/>
    </font>
    <font>
      <sz val="12"/>
      <color rgb="FF333333"/>
      <name val="맑은 고딕"/>
      <family val="2"/>
    </font>
    <font>
      <strike/>
      <sz val="12"/>
      <color rgb="FF333333"/>
      <name val="Arial"/>
      <family val="2"/>
    </font>
    <font>
      <u/>
      <sz val="11"/>
      <color theme="10"/>
      <name val="Calibri"/>
      <family val="2"/>
      <scheme val="minor"/>
    </font>
    <font>
      <sz val="11"/>
      <name val="Calibri"/>
      <family val="2"/>
      <scheme val="minor"/>
    </font>
    <font>
      <b/>
      <sz val="11"/>
      <color theme="1"/>
      <name val="Calibri"/>
      <family val="3"/>
      <charset val="129"/>
      <scheme val="minor"/>
    </font>
    <font>
      <sz val="11"/>
      <name val="Calibri"/>
      <family val="3"/>
      <charset val="129"/>
      <scheme val="minor"/>
    </font>
    <font>
      <sz val="11"/>
      <color theme="1"/>
      <name val="Calibri"/>
      <family val="3"/>
      <charset val="129"/>
      <scheme val="minor"/>
    </font>
    <font>
      <b/>
      <sz val="11"/>
      <color rgb="FF0C4B33"/>
      <name val="Consolas"/>
      <family val="3"/>
    </font>
    <font>
      <b/>
      <sz val="11"/>
      <color rgb="FF0B02BE"/>
      <name val="Calibri"/>
      <family val="3"/>
      <charset val="129"/>
      <scheme val="minor"/>
    </font>
    <font>
      <b/>
      <i/>
      <sz val="11"/>
      <color theme="1"/>
      <name val="Calibri"/>
      <family val="3"/>
      <charset val="129"/>
      <scheme val="minor"/>
    </font>
    <font>
      <sz val="11"/>
      <color rgb="FFFF0000"/>
      <name val="Calibri"/>
      <family val="2"/>
      <scheme val="minor"/>
    </font>
    <font>
      <sz val="11"/>
      <color rgb="FF0C4B33"/>
      <name val="Consolas"/>
      <family val="3"/>
    </font>
    <font>
      <b/>
      <sz val="11"/>
      <color rgb="FF003366"/>
      <name val="Arial"/>
      <family val="2"/>
    </font>
    <font>
      <sz val="11"/>
      <color rgb="FF003366"/>
      <name val="Arial"/>
      <family val="2"/>
    </font>
    <font>
      <sz val="11"/>
      <color rgb="FF003366"/>
      <name val="Courier New"/>
      <family val="3"/>
    </font>
    <font>
      <i/>
      <sz val="11"/>
      <color rgb="FF003366"/>
      <name val="Courier New"/>
      <family val="3"/>
    </font>
    <font>
      <i/>
      <sz val="11"/>
      <color rgb="FF003366"/>
      <name val="Arial"/>
      <family val="2"/>
    </font>
    <font>
      <sz val="11"/>
      <color rgb="FFBC8F8F"/>
      <name val="Courier New"/>
      <family val="3"/>
    </font>
    <font>
      <sz val="11"/>
      <color rgb="FF35A500"/>
      <name val="Courier New"/>
      <family val="3"/>
    </font>
    <font>
      <sz val="11"/>
      <color theme="1"/>
      <name val="Courier New"/>
      <family val="3"/>
    </font>
    <font>
      <u/>
      <sz val="11"/>
      <color theme="10"/>
      <name val="Calibri"/>
      <family val="3"/>
      <charset val="129"/>
      <scheme val="minor"/>
    </font>
    <font>
      <sz val="10"/>
      <color rgb="FF212529"/>
      <name val="Consolas"/>
      <family val="3"/>
    </font>
    <font>
      <b/>
      <sz val="10"/>
      <color rgb="FF062873"/>
      <name val="Consolas"/>
      <family val="3"/>
    </font>
    <font>
      <sz val="10"/>
      <color rgb="FF4070A0"/>
      <name val="Consolas"/>
      <family val="3"/>
    </font>
    <font>
      <sz val="10"/>
      <color rgb="FF666666"/>
      <name val="Consolas"/>
      <family val="3"/>
    </font>
    <font>
      <sz val="8"/>
      <name val="Calibri"/>
      <family val="2"/>
      <scheme val="minor"/>
    </font>
    <font>
      <b/>
      <strike/>
      <sz val="11"/>
      <color rgb="FF0C4B33"/>
      <name val="Consolas"/>
      <family val="3"/>
    </font>
    <font>
      <sz val="11"/>
      <color rgb="FF171717"/>
      <name val="Segoe UI"/>
      <family val="2"/>
    </font>
    <font>
      <b/>
      <sz val="11"/>
      <color theme="1"/>
      <name val="Calibri"/>
      <family val="2"/>
      <scheme val="minor"/>
    </font>
    <font>
      <b/>
      <sz val="11"/>
      <color rgb="FFFF0000"/>
      <name val="Calibri"/>
      <family val="2"/>
      <scheme val="minor"/>
    </font>
    <font>
      <sz val="11"/>
      <name val="Consolas"/>
      <family val="3"/>
    </font>
    <font>
      <sz val="11"/>
      <color theme="1"/>
      <name val="Calibri"/>
      <family val="2"/>
      <scheme val="minor"/>
    </font>
    <font>
      <b/>
      <strike/>
      <sz val="11"/>
      <color rgb="FFFF0000"/>
      <name val="Calibri"/>
      <family val="3"/>
      <charset val="129"/>
      <scheme val="minor"/>
    </font>
    <font>
      <b/>
      <sz val="11"/>
      <color rgb="FFFF0000"/>
      <name val="Segoe UI"/>
      <family val="2"/>
    </font>
    <font>
      <b/>
      <strike/>
      <sz val="11"/>
      <color theme="1"/>
      <name val="Calibri"/>
      <family val="3"/>
      <charset val="129"/>
      <scheme val="minor"/>
    </font>
    <font>
      <b/>
      <strike/>
      <sz val="11"/>
      <color rgb="FF0B02BE"/>
      <name val="Calibri"/>
      <family val="3"/>
      <charset val="129"/>
      <scheme val="minor"/>
    </font>
    <font>
      <strike/>
      <sz val="11"/>
      <color rgb="FF0C4B33"/>
      <name val="Consolas"/>
      <family val="3"/>
    </font>
    <font>
      <b/>
      <sz val="11"/>
      <name val="Consolas"/>
      <family val="3"/>
    </font>
  </fonts>
  <fills count="14">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FFFF99"/>
        <bgColor indexed="64"/>
      </patternFill>
    </fill>
    <fill>
      <patternFill patternType="solid">
        <fgColor rgb="FFFFFFFF"/>
        <bgColor indexed="64"/>
      </patternFill>
    </fill>
    <fill>
      <patternFill patternType="solid">
        <fgColor rgb="FFE2E2E2"/>
        <bgColor indexed="64"/>
      </patternFill>
    </fill>
    <fill>
      <patternFill patternType="solid">
        <fgColor rgb="FFF2F2F2"/>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AAAAAA"/>
      </left>
      <right style="medium">
        <color rgb="FFAAAAAA"/>
      </right>
      <top style="medium">
        <color rgb="FFAAAAAA"/>
      </top>
      <bottom style="medium">
        <color rgb="FFAAAAAA"/>
      </bottom>
      <diagonal/>
    </border>
    <border>
      <left style="medium">
        <color rgb="FFAAAAAA"/>
      </left>
      <right/>
      <top style="medium">
        <color rgb="FFAAAAAA"/>
      </top>
      <bottom style="medium">
        <color rgb="FFAAAAAA"/>
      </bottom>
      <diagonal/>
    </border>
    <border>
      <left/>
      <right style="medium">
        <color rgb="FFAAAAAA"/>
      </right>
      <top style="medium">
        <color rgb="FFAAAAAA"/>
      </top>
      <bottom style="medium">
        <color rgb="FFAAAAAA"/>
      </bottom>
      <diagonal/>
    </border>
    <border>
      <left style="medium">
        <color rgb="FFAAAAAA"/>
      </left>
      <right style="medium">
        <color rgb="FFAAAAAA"/>
      </right>
      <top style="medium">
        <color rgb="FFAAAAAA"/>
      </top>
      <bottom/>
      <diagonal/>
    </border>
    <border>
      <left style="medium">
        <color rgb="FFAAAAAA"/>
      </left>
      <right style="medium">
        <color rgb="FFAAAAAA"/>
      </right>
      <top/>
      <bottom/>
      <diagonal/>
    </border>
    <border>
      <left style="medium">
        <color rgb="FFAAAAAA"/>
      </left>
      <right style="medium">
        <color rgb="FFAAAAAA"/>
      </right>
      <top/>
      <bottom style="medium">
        <color rgb="FFAAAAAA"/>
      </bottom>
      <diagonal/>
    </border>
    <border>
      <left style="medium">
        <color rgb="FFAAAAAA"/>
      </left>
      <right/>
      <top style="medium">
        <color rgb="FFAAAAAA"/>
      </top>
      <bottom/>
      <diagonal/>
    </border>
    <border>
      <left/>
      <right style="medium">
        <color rgb="FFAAAAAA"/>
      </right>
      <top style="medium">
        <color rgb="FFAAAAAA"/>
      </top>
      <bottom/>
      <diagonal/>
    </border>
    <border>
      <left style="medium">
        <color rgb="FFAAAAAA"/>
      </left>
      <right/>
      <top/>
      <bottom/>
      <diagonal/>
    </border>
    <border>
      <left/>
      <right style="medium">
        <color rgb="FFAAAAAA"/>
      </right>
      <top/>
      <bottom/>
      <diagonal/>
    </border>
    <border>
      <left style="medium">
        <color rgb="FFAAAAAA"/>
      </left>
      <right/>
      <top/>
      <bottom style="medium">
        <color rgb="FFAAAAAA"/>
      </bottom>
      <diagonal/>
    </border>
    <border>
      <left/>
      <right style="medium">
        <color rgb="FFAAAAAA"/>
      </right>
      <top/>
      <bottom style="medium">
        <color rgb="FFAAAAAA"/>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s>
  <cellStyleXfs count="3">
    <xf numFmtId="0" fontId="0" fillId="0" borderId="0"/>
    <xf numFmtId="0" fontId="11" fillId="0" borderId="0" applyNumberFormat="0" applyFill="0" applyBorder="0" applyAlignment="0" applyProtection="0"/>
    <xf numFmtId="9" fontId="40" fillId="0" borderId="0" applyFont="0" applyFill="0" applyBorder="0" applyAlignment="0" applyProtection="0"/>
  </cellStyleXfs>
  <cellXfs count="264">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0" fillId="2" borderId="0" xfId="0" applyFill="1"/>
    <xf numFmtId="0" fontId="0" fillId="3" borderId="0" xfId="0" applyFill="1"/>
    <xf numFmtId="0" fontId="11" fillId="0" borderId="0" xfId="1"/>
    <xf numFmtId="0" fontId="0" fillId="0" borderId="1" xfId="0" applyBorder="1" applyAlignment="1">
      <alignment vertical="center"/>
    </xf>
    <xf numFmtId="0" fontId="0" fillId="0" borderId="1" xfId="0" applyFill="1" applyBorder="1" applyAlignment="1">
      <alignment horizontal="left" vertical="center" indent="1"/>
    </xf>
    <xf numFmtId="0" fontId="0" fillId="0" borderId="1" xfId="0" applyFill="1" applyBorder="1" applyAlignment="1">
      <alignment horizontal="center" vertical="center"/>
    </xf>
    <xf numFmtId="0" fontId="0" fillId="0" borderId="2" xfId="0" applyBorder="1" applyAlignment="1">
      <alignment vertical="center"/>
    </xf>
    <xf numFmtId="0" fontId="0" fillId="0" borderId="2" xfId="0" applyFill="1" applyBorder="1" applyAlignment="1">
      <alignment horizontal="center" vertical="center"/>
    </xf>
    <xf numFmtId="0" fontId="0" fillId="0" borderId="2" xfId="0" applyFill="1" applyBorder="1" applyAlignment="1">
      <alignment horizontal="left" vertical="center" indent="1"/>
    </xf>
    <xf numFmtId="0" fontId="0" fillId="0" borderId="4" xfId="0" applyBorder="1" applyAlignment="1">
      <alignment vertical="center"/>
    </xf>
    <xf numFmtId="0" fontId="0" fillId="0" borderId="4" xfId="0" applyFill="1" applyBorder="1" applyAlignment="1">
      <alignment horizontal="left" vertical="center" indent="1"/>
    </xf>
    <xf numFmtId="0" fontId="0" fillId="0" borderId="4" xfId="0" applyFill="1" applyBorder="1" applyAlignment="1">
      <alignment horizontal="center" vertical="center"/>
    </xf>
    <xf numFmtId="0" fontId="0" fillId="0" borderId="5" xfId="0" applyBorder="1" applyAlignment="1">
      <alignment vertical="center"/>
    </xf>
    <xf numFmtId="0" fontId="0" fillId="0" borderId="1" xfId="0" applyBorder="1" applyAlignment="1">
      <alignment vertical="center" wrapText="1"/>
    </xf>
    <xf numFmtId="0" fontId="0" fillId="0" borderId="1" xfId="0" applyBorder="1"/>
    <xf numFmtId="0" fontId="0" fillId="0" borderId="1" xfId="0" applyBorder="1" applyAlignment="1">
      <alignment horizontal="center"/>
    </xf>
    <xf numFmtId="0" fontId="11" fillId="0" borderId="1" xfId="1" applyBorder="1"/>
    <xf numFmtId="0" fontId="0" fillId="0" borderId="1" xfId="0" applyBorder="1" applyAlignment="1">
      <alignment horizontal="center" vertical="center" wrapText="1"/>
    </xf>
    <xf numFmtId="0" fontId="0" fillId="0" borderId="1" xfId="0" applyBorder="1" applyAlignment="1">
      <alignment wrapText="1"/>
    </xf>
    <xf numFmtId="0" fontId="12" fillId="0" borderId="1" xfId="1" applyFont="1" applyBorder="1"/>
    <xf numFmtId="0" fontId="0" fillId="3" borderId="1" xfId="0" applyFill="1" applyBorder="1" applyAlignment="1">
      <alignment horizontal="center"/>
    </xf>
    <xf numFmtId="0" fontId="13" fillId="3" borderId="1" xfId="0" applyFont="1" applyFill="1"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center" vertical="center"/>
    </xf>
    <xf numFmtId="0" fontId="14" fillId="0" borderId="3" xfId="0" applyFont="1" applyBorder="1" applyAlignment="1">
      <alignment horizontal="center" vertical="center" wrapText="1"/>
    </xf>
    <xf numFmtId="164" fontId="0" fillId="0" borderId="0" xfId="0" applyNumberFormat="1"/>
    <xf numFmtId="0" fontId="0" fillId="0" borderId="0" xfId="0" applyAlignment="1"/>
    <xf numFmtId="0" fontId="0" fillId="4" borderId="1" xfId="0" applyFill="1" applyBorder="1" applyAlignment="1">
      <alignment horizontal="center"/>
    </xf>
    <xf numFmtId="0" fontId="13" fillId="2" borderId="0" xfId="0" applyFont="1" applyFill="1"/>
    <xf numFmtId="0" fontId="15" fillId="0" borderId="0" xfId="0" applyFont="1"/>
    <xf numFmtId="0" fontId="16" fillId="0" borderId="0" xfId="0" applyFont="1" applyAlignment="1">
      <alignment vertical="center" wrapText="1"/>
    </xf>
    <xf numFmtId="0" fontId="2" fillId="4" borderId="1" xfId="0" applyFont="1" applyFill="1" applyBorder="1" applyAlignment="1">
      <alignment horizontal="center"/>
    </xf>
    <xf numFmtId="0" fontId="3" fillId="0" borderId="1" xfId="0" applyFont="1" applyBorder="1" applyAlignment="1">
      <alignment horizontal="center"/>
    </xf>
    <xf numFmtId="0" fontId="6" fillId="4" borderId="1" xfId="0" applyFont="1" applyFill="1" applyBorder="1" applyAlignment="1">
      <alignment horizontal="center"/>
    </xf>
    <xf numFmtId="0" fontId="13" fillId="3" borderId="0" xfId="0" applyFont="1" applyFill="1"/>
    <xf numFmtId="0" fontId="13" fillId="3" borderId="1" xfId="0" applyFont="1" applyFill="1" applyBorder="1" applyAlignment="1">
      <alignment horizontal="center"/>
    </xf>
    <xf numFmtId="164" fontId="0" fillId="0" borderId="1" xfId="0" applyNumberFormat="1" applyBorder="1" applyAlignment="1">
      <alignment horizontal="center"/>
    </xf>
    <xf numFmtId="0" fontId="0" fillId="0" borderId="0" xfId="0" applyFill="1" applyBorder="1" applyAlignment="1">
      <alignment horizontal="center"/>
    </xf>
    <xf numFmtId="0" fontId="17" fillId="0" borderId="0" xfId="0" applyFont="1"/>
    <xf numFmtId="164" fontId="17" fillId="0" borderId="0" xfId="0" applyNumberFormat="1" applyFont="1"/>
    <xf numFmtId="0" fontId="0" fillId="3" borderId="6" xfId="0" applyFill="1" applyBorder="1" applyAlignment="1">
      <alignment horizontal="center"/>
    </xf>
    <xf numFmtId="0" fontId="0" fillId="0" borderId="3" xfId="0" applyBorder="1" applyAlignment="1">
      <alignment horizontal="center" vertical="center" wrapText="1"/>
    </xf>
    <xf numFmtId="0" fontId="0" fillId="0" borderId="1" xfId="0" applyFill="1" applyBorder="1" applyAlignment="1">
      <alignment horizontal="center"/>
    </xf>
    <xf numFmtId="0" fontId="19" fillId="0" borderId="1" xfId="0" applyFont="1" applyFill="1" applyBorder="1" applyAlignment="1">
      <alignment horizontal="left" vertical="center" indent="1"/>
    </xf>
    <xf numFmtId="0" fontId="0" fillId="2" borderId="1" xfId="0" applyFill="1" applyBorder="1" applyAlignment="1">
      <alignment horizontal="left" vertical="center" indent="1"/>
    </xf>
    <xf numFmtId="0" fontId="0" fillId="2" borderId="4" xfId="0" applyFill="1" applyBorder="1" applyAlignment="1">
      <alignment horizontal="center" vertical="center"/>
    </xf>
    <xf numFmtId="0" fontId="0" fillId="0" borderId="0" xfId="0" quotePrefix="1"/>
    <xf numFmtId="0" fontId="0" fillId="2" borderId="5" xfId="0" applyFill="1" applyBorder="1" applyAlignment="1">
      <alignment horizontal="center"/>
    </xf>
    <xf numFmtId="0" fontId="0" fillId="0" borderId="0" xfId="0" applyFill="1" applyBorder="1" applyAlignment="1"/>
    <xf numFmtId="0" fontId="0" fillId="0" borderId="6" xfId="0" applyBorder="1" applyAlignment="1">
      <alignment horizontal="left"/>
    </xf>
    <xf numFmtId="0" fontId="13" fillId="3" borderId="6" xfId="0" applyFont="1" applyFill="1" applyBorder="1" applyAlignment="1">
      <alignment horizontal="center" vertical="center"/>
    </xf>
    <xf numFmtId="0" fontId="0" fillId="0" borderId="0" xfId="0" applyBorder="1"/>
    <xf numFmtId="0" fontId="0" fillId="5" borderId="1" xfId="0" applyFill="1" applyBorder="1" applyAlignment="1">
      <alignment horizontal="center"/>
    </xf>
    <xf numFmtId="0" fontId="0" fillId="5" borderId="1" xfId="0" applyFill="1" applyBorder="1"/>
    <xf numFmtId="0" fontId="0" fillId="2" borderId="0" xfId="0" quotePrefix="1" applyFill="1"/>
    <xf numFmtId="0" fontId="17" fillId="4" borderId="1" xfId="0" applyFont="1" applyFill="1" applyBorder="1" applyAlignment="1">
      <alignment horizontal="center"/>
    </xf>
    <xf numFmtId="0" fontId="13" fillId="2" borderId="5" xfId="0" applyFont="1" applyFill="1" applyBorder="1" applyAlignment="1">
      <alignment horizontal="center"/>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0" fillId="0" borderId="1" xfId="0" applyFont="1" applyBorder="1" applyAlignment="1">
      <alignment horizontal="center"/>
    </xf>
    <xf numFmtId="0" fontId="20" fillId="0" borderId="1" xfId="0" applyFont="1" applyBorder="1" applyAlignment="1">
      <alignment horizontal="center" vertical="center" wrapText="1"/>
    </xf>
    <xf numFmtId="0" fontId="0" fillId="2" borderId="5" xfId="0" applyFill="1" applyBorder="1" applyAlignment="1">
      <alignment horizontal="center"/>
    </xf>
    <xf numFmtId="0" fontId="2" fillId="0" borderId="1" xfId="0" applyFont="1" applyBorder="1"/>
    <xf numFmtId="0" fontId="0" fillId="0" borderId="1" xfId="0" applyBorder="1" applyAlignment="1">
      <alignment horizontal="center" vertical="center"/>
    </xf>
    <xf numFmtId="0" fontId="23" fillId="6" borderId="9" xfId="0" applyFont="1" applyFill="1" applyBorder="1" applyAlignment="1">
      <alignment horizontal="left" vertical="top" wrapText="1"/>
    </xf>
    <xf numFmtId="0" fontId="23" fillId="8" borderId="9" xfId="0" applyFont="1" applyFill="1" applyBorder="1" applyAlignment="1">
      <alignment horizontal="left" vertical="top" wrapText="1"/>
    </xf>
    <xf numFmtId="0" fontId="28" fillId="8" borderId="15" xfId="0" applyFont="1" applyFill="1" applyBorder="1" applyAlignment="1">
      <alignment horizontal="left" vertical="top" wrapText="1"/>
    </xf>
    <xf numFmtId="0" fontId="15" fillId="8" borderId="16" xfId="0" applyFont="1" applyFill="1" applyBorder="1" applyAlignment="1">
      <alignment horizontal="left" vertical="top" wrapText="1"/>
    </xf>
    <xf numFmtId="0" fontId="28" fillId="8" borderId="17" xfId="0" applyFont="1" applyFill="1" applyBorder="1" applyAlignment="1">
      <alignment horizontal="left" vertical="top" wrapText="1"/>
    </xf>
    <xf numFmtId="0" fontId="15" fillId="8" borderId="18" xfId="0" applyFont="1" applyFill="1" applyBorder="1" applyAlignment="1">
      <alignment horizontal="left" vertical="top" wrapText="1"/>
    </xf>
    <xf numFmtId="0" fontId="28" fillId="8" borderId="19" xfId="0" applyFont="1" applyFill="1" applyBorder="1" applyAlignment="1">
      <alignment horizontal="left" vertical="top" wrapText="1"/>
    </xf>
    <xf numFmtId="0" fontId="15" fillId="8" borderId="20" xfId="0" applyFont="1" applyFill="1" applyBorder="1" applyAlignment="1">
      <alignment horizontal="left" vertical="top" wrapText="1"/>
    </xf>
    <xf numFmtId="0" fontId="23" fillId="8" borderId="12" xfId="0" applyFont="1" applyFill="1" applyBorder="1" applyAlignment="1">
      <alignment vertical="top" wrapText="1"/>
    </xf>
    <xf numFmtId="0" fontId="23" fillId="8" borderId="13" xfId="0" applyFont="1" applyFill="1" applyBorder="1" applyAlignment="1">
      <alignment vertical="top" wrapText="1"/>
    </xf>
    <xf numFmtId="0" fontId="23" fillId="8" borderId="14" xfId="0" applyFont="1" applyFill="1" applyBorder="1" applyAlignment="1">
      <alignment vertical="top" wrapText="1"/>
    </xf>
    <xf numFmtId="0" fontId="21" fillId="7" borderId="9" xfId="0" applyFont="1" applyFill="1" applyBorder="1" applyAlignment="1">
      <alignment horizontal="center" vertical="top" wrapText="1"/>
    </xf>
    <xf numFmtId="0" fontId="0" fillId="0" borderId="0" xfId="0" applyAlignment="1">
      <alignment horizontal="center"/>
    </xf>
    <xf numFmtId="0" fontId="0" fillId="0" borderId="1" xfId="0" applyBorder="1" applyAlignment="1">
      <alignment horizontal="center"/>
    </xf>
    <xf numFmtId="0" fontId="0" fillId="2" borderId="5"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14" fillId="4" borderId="1" xfId="0" applyFont="1" applyFill="1" applyBorder="1" applyAlignment="1">
      <alignment horizontal="center"/>
    </xf>
    <xf numFmtId="0" fontId="6" fillId="2" borderId="0" xfId="0" applyFont="1" applyFill="1"/>
    <xf numFmtId="0" fontId="13" fillId="2" borderId="0" xfId="0" applyFont="1" applyFill="1" applyAlignment="1">
      <alignment horizontal="center"/>
    </xf>
    <xf numFmtId="0" fontId="0" fillId="2" borderId="5" xfId="0"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xf>
    <xf numFmtId="49" fontId="0" fillId="0" borderId="1" xfId="0" applyNumberFormat="1" applyBorder="1" applyAlignment="1">
      <alignment horizontal="center" vertical="center"/>
    </xf>
    <xf numFmtId="0" fontId="0" fillId="2" borderId="0" xfId="0" applyFill="1" applyAlignment="1">
      <alignment horizontal="center"/>
    </xf>
    <xf numFmtId="0" fontId="0" fillId="9" borderId="1" xfId="0" applyFill="1" applyBorder="1" applyAlignment="1">
      <alignment horizontal="center"/>
    </xf>
    <xf numFmtId="0" fontId="16" fillId="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12" fillId="0" borderId="1"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horizontal="center" vertical="center" wrapText="1"/>
    </xf>
    <xf numFmtId="0" fontId="30" fillId="0" borderId="21" xfId="0" applyFont="1" applyBorder="1" applyAlignment="1">
      <alignment horizontal="left" vertical="center"/>
    </xf>
    <xf numFmtId="0" fontId="0" fillId="0" borderId="0" xfId="0" quotePrefix="1" applyAlignment="1">
      <alignment wrapText="1"/>
    </xf>
    <xf numFmtId="0" fontId="2" fillId="0" borderId="1" xfId="0" applyFont="1" applyBorder="1" applyAlignment="1">
      <alignment horizontal="center"/>
    </xf>
    <xf numFmtId="0" fontId="35" fillId="0" borderId="1" xfId="0" applyFont="1" applyBorder="1" applyAlignment="1">
      <alignment horizontal="center" vertical="center" wrapText="1"/>
    </xf>
    <xf numFmtId="0" fontId="0" fillId="3" borderId="0" xfId="0" applyFill="1" applyAlignment="1">
      <alignment horizontal="center"/>
    </xf>
    <xf numFmtId="0" fontId="0" fillId="10" borderId="0" xfId="0" applyFill="1"/>
    <xf numFmtId="0" fontId="0" fillId="11" borderId="0" xfId="0" applyFill="1" applyAlignment="1">
      <alignment horizontal="center"/>
    </xf>
    <xf numFmtId="0" fontId="0" fillId="2" borderId="1" xfId="0" applyFill="1" applyBorder="1" applyAlignment="1">
      <alignment horizontal="center"/>
    </xf>
    <xf numFmtId="0" fontId="0" fillId="2" borderId="4"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30" fillId="0" borderId="0" xfId="0" applyFont="1" applyBorder="1" applyAlignment="1">
      <alignment horizontal="left" vertical="center"/>
    </xf>
    <xf numFmtId="0" fontId="0" fillId="0" borderId="4" xfId="0" applyFill="1" applyBorder="1" applyAlignment="1">
      <alignment horizontal="center" vertical="center"/>
    </xf>
    <xf numFmtId="0" fontId="0" fillId="13" borderId="2" xfId="0" applyFill="1" applyBorder="1" applyAlignment="1">
      <alignment horizontal="center" vertical="center"/>
    </xf>
    <xf numFmtId="0" fontId="0" fillId="13" borderId="1" xfId="0" applyFill="1" applyBorder="1" applyAlignment="1">
      <alignment horizontal="center" vertical="center"/>
    </xf>
    <xf numFmtId="0" fontId="0" fillId="0" borderId="1" xfId="0" applyFill="1" applyBorder="1" applyAlignment="1">
      <alignment horizontal="left" vertical="center" wrapText="1" indent="1"/>
    </xf>
    <xf numFmtId="0" fontId="0" fillId="0" borderId="1" xfId="0" applyBorder="1" applyAlignment="1">
      <alignment horizontal="left" vertical="center"/>
    </xf>
    <xf numFmtId="0" fontId="36" fillId="0" borderId="0" xfId="0" applyFont="1" applyAlignment="1">
      <alignment horizontal="left" vertical="top" wrapText="1"/>
    </xf>
    <xf numFmtId="0" fontId="0" fillId="2" borderId="5" xfId="0" applyFill="1" applyBorder="1" applyAlignment="1">
      <alignment horizontal="center"/>
    </xf>
    <xf numFmtId="0" fontId="0" fillId="0" borderId="0" xfId="0" applyAlignment="1">
      <alignment vertical="center"/>
    </xf>
    <xf numFmtId="0" fontId="0" fillId="0" borderId="0" xfId="0" applyAlignment="1">
      <alignment horizontal="center" vertical="center"/>
    </xf>
    <xf numFmtId="0" fontId="0" fillId="4" borderId="1" xfId="0" applyFont="1" applyFill="1" applyBorder="1" applyAlignment="1">
      <alignment horizontal="center"/>
    </xf>
    <xf numFmtId="14" fontId="0" fillId="0" borderId="1" xfId="0" applyNumberFormat="1" applyBorder="1" applyAlignment="1">
      <alignment horizontal="center" vertical="center"/>
    </xf>
    <xf numFmtId="0" fontId="37" fillId="2" borderId="1" xfId="0" applyFont="1" applyFill="1" applyBorder="1" applyAlignment="1">
      <alignment horizontal="center" vertical="center"/>
    </xf>
    <xf numFmtId="0" fontId="37" fillId="2" borderId="1" xfId="0" applyFont="1" applyFill="1" applyBorder="1" applyAlignment="1">
      <alignment horizontal="center" vertical="center" wrapText="1"/>
    </xf>
    <xf numFmtId="0" fontId="0" fillId="2" borderId="0" xfId="0" applyFill="1" applyAlignment="1">
      <alignment vertical="center"/>
    </xf>
    <xf numFmtId="0" fontId="19" fillId="0" borderId="1" xfId="0" applyFont="1" applyBorder="1" applyAlignment="1">
      <alignment horizontal="center" vertical="center" wrapText="1"/>
    </xf>
    <xf numFmtId="14" fontId="19" fillId="0" borderId="1" xfId="0" applyNumberFormat="1" applyFont="1" applyBorder="1" applyAlignment="1">
      <alignment horizontal="center" vertical="center"/>
    </xf>
    <xf numFmtId="0" fontId="0" fillId="0" borderId="0" xfId="0" applyAlignment="1">
      <alignment horizontal="right"/>
    </xf>
    <xf numFmtId="14" fontId="0" fillId="0" borderId="1" xfId="0" applyNumberFormat="1" applyBorder="1" applyAlignment="1">
      <alignment horizontal="center" vertical="center" wrapText="1"/>
    </xf>
    <xf numFmtId="0" fontId="0" fillId="0" borderId="1" xfId="0" applyFill="1" applyBorder="1" applyAlignment="1">
      <alignment vertical="center" wrapText="1"/>
    </xf>
    <xf numFmtId="0" fontId="19" fillId="0" borderId="0" xfId="0" applyFont="1" applyAlignment="1">
      <alignment vertical="center"/>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0" fillId="0" borderId="1" xfId="0" applyBorder="1" applyAlignment="1">
      <alignment horizontal="left"/>
    </xf>
    <xf numFmtId="0" fontId="39" fillId="0" borderId="0" xfId="0" applyFont="1" applyAlignment="1">
      <alignment vertical="center"/>
    </xf>
    <xf numFmtId="0" fontId="0" fillId="0" borderId="22" xfId="0" applyBorder="1"/>
    <xf numFmtId="0" fontId="0" fillId="2" borderId="22" xfId="0" applyFill="1" applyBorder="1"/>
    <xf numFmtId="0" fontId="37" fillId="0" borderId="0" xfId="0" applyFont="1" applyAlignment="1">
      <alignment horizontal="center"/>
    </xf>
    <xf numFmtId="0" fontId="0" fillId="2" borderId="1" xfId="0" applyFill="1" applyBorder="1" applyAlignment="1">
      <alignment vertical="center"/>
    </xf>
    <xf numFmtId="0" fontId="0" fillId="2" borderId="1" xfId="0" applyFill="1" applyBorder="1" applyAlignment="1">
      <alignment horizontal="left"/>
    </xf>
    <xf numFmtId="0" fontId="0" fillId="0" borderId="0" xfId="0" applyFill="1" applyBorder="1" applyAlignment="1">
      <alignment vertical="center" wrapText="1"/>
    </xf>
    <xf numFmtId="0" fontId="0" fillId="2" borderId="0" xfId="0" applyFill="1" applyAlignment="1"/>
    <xf numFmtId="0" fontId="0" fillId="0" borderId="1" xfId="0" applyFont="1" applyFill="1" applyBorder="1" applyAlignment="1">
      <alignment horizontal="center" vertical="center" wrapText="1"/>
    </xf>
    <xf numFmtId="0" fontId="19" fillId="0" borderId="0" xfId="0" applyFont="1" applyAlignment="1">
      <alignment horizontal="center" vertical="center" wrapText="1"/>
    </xf>
    <xf numFmtId="14" fontId="0" fillId="0" borderId="6" xfId="0" applyNumberFormat="1" applyFill="1" applyBorder="1" applyAlignment="1">
      <alignment horizontal="center" vertical="center"/>
    </xf>
    <xf numFmtId="0" fontId="41" fillId="12" borderId="1" xfId="0" applyFont="1" applyFill="1" applyBorder="1" applyAlignment="1">
      <alignment horizontal="center"/>
    </xf>
    <xf numFmtId="0" fontId="2" fillId="12" borderId="1" xfId="0" applyFont="1" applyFill="1" applyBorder="1" applyAlignment="1">
      <alignment horizontal="center"/>
    </xf>
    <xf numFmtId="0" fontId="35" fillId="12" borderId="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0" fillId="0" borderId="0" xfId="0" applyFill="1" applyBorder="1" applyAlignment="1">
      <alignment horizontal="center" vertical="center"/>
    </xf>
    <xf numFmtId="9" fontId="0" fillId="0" borderId="0" xfId="2" applyFont="1" applyBorder="1"/>
    <xf numFmtId="0" fontId="0" fillId="2" borderId="1" xfId="0" applyFill="1" applyBorder="1"/>
    <xf numFmtId="16" fontId="0" fillId="0" borderId="0" xfId="0" applyNumberFormat="1"/>
    <xf numFmtId="0" fontId="0" fillId="9" borderId="1" xfId="0" applyFont="1" applyFill="1" applyBorder="1" applyAlignment="1">
      <alignment horizontal="center"/>
    </xf>
    <xf numFmtId="0" fontId="0" fillId="9" borderId="0" xfId="0" applyFill="1"/>
    <xf numFmtId="0" fontId="13" fillId="3" borderId="3" xfId="0" applyFont="1" applyFill="1" applyBorder="1" applyAlignment="1">
      <alignment horizontal="center" vertical="center"/>
    </xf>
    <xf numFmtId="0" fontId="0" fillId="3" borderId="1" xfId="0" applyFill="1" applyBorder="1" applyAlignment="1">
      <alignment horizontal="center"/>
    </xf>
    <xf numFmtId="0" fontId="0" fillId="0" borderId="1" xfId="0" applyBorder="1" applyAlignment="1">
      <alignment horizontal="center"/>
    </xf>
    <xf numFmtId="0" fontId="12" fillId="2" borderId="1" xfId="0" applyFont="1" applyFill="1" applyBorder="1" applyAlignment="1">
      <alignment horizontal="center"/>
    </xf>
    <xf numFmtId="0" fontId="14" fillId="2" borderId="1" xfId="0" applyFont="1" applyFill="1" applyBorder="1" applyAlignment="1">
      <alignment horizontal="center"/>
    </xf>
    <xf numFmtId="0" fontId="0" fillId="3" borderId="1" xfId="0" applyFill="1" applyBorder="1"/>
    <xf numFmtId="0" fontId="0" fillId="3" borderId="1" xfId="0" applyFill="1" applyBorder="1" applyAlignment="1">
      <alignment vertical="center"/>
    </xf>
    <xf numFmtId="0" fontId="36" fillId="0" borderId="1" xfId="0" applyFont="1" applyBorder="1" applyAlignment="1">
      <alignment vertical="center"/>
    </xf>
    <xf numFmtId="0" fontId="36" fillId="0" borderId="1" xfId="0" applyFont="1" applyBorder="1" applyAlignment="1">
      <alignment horizontal="left" vertical="center" wrapText="1"/>
    </xf>
    <xf numFmtId="0" fontId="0" fillId="0" borderId="0" xfId="0" applyFill="1" applyBorder="1"/>
    <xf numFmtId="0" fontId="0" fillId="0" borderId="8" xfId="0" applyBorder="1" applyAlignment="1">
      <alignment horizontal="center"/>
    </xf>
    <xf numFmtId="0" fontId="0" fillId="2" borderId="5" xfId="0" applyFill="1" applyBorder="1" applyAlignment="1">
      <alignment horizontal="center"/>
    </xf>
    <xf numFmtId="0" fontId="0" fillId="0" borderId="1" xfId="0" applyBorder="1" applyAlignment="1">
      <alignment horizontal="center" vertical="center" wrapText="1"/>
    </xf>
    <xf numFmtId="0" fontId="0" fillId="3" borderId="1" xfId="0" applyFill="1" applyBorder="1" applyAlignment="1">
      <alignment horizontal="center"/>
    </xf>
    <xf numFmtId="0" fontId="0" fillId="0" borderId="1" xfId="0" applyBorder="1" applyAlignment="1">
      <alignment horizontal="center"/>
    </xf>
    <xf numFmtId="0" fontId="11" fillId="0" borderId="1" xfId="1" applyBorder="1" applyAlignment="1">
      <alignment wrapText="1"/>
    </xf>
    <xf numFmtId="0" fontId="36" fillId="2" borderId="1" xfId="0" applyFont="1" applyFill="1" applyBorder="1" applyAlignment="1">
      <alignment horizontal="left" vertical="center" wrapText="1"/>
    </xf>
    <xf numFmtId="0" fontId="42" fillId="2" borderId="1" xfId="0" applyFont="1" applyFill="1" applyBorder="1" applyAlignment="1">
      <alignment vertical="center"/>
    </xf>
    <xf numFmtId="0" fontId="42" fillId="2" borderId="1" xfId="0" applyFont="1" applyFill="1" applyBorder="1" applyAlignment="1">
      <alignment horizontal="left" vertical="center" wrapText="1"/>
    </xf>
    <xf numFmtId="0" fontId="0" fillId="2" borderId="1" xfId="0" applyFill="1" applyBorder="1" applyAlignment="1">
      <alignment horizontal="left" vertical="center"/>
    </xf>
    <xf numFmtId="0" fontId="0" fillId="0" borderId="1" xfId="0" applyFill="1" applyBorder="1" applyAlignment="1">
      <alignment horizontal="left" vertical="center"/>
    </xf>
    <xf numFmtId="14" fontId="0" fillId="0" borderId="0" xfId="0" applyNumberFormat="1"/>
    <xf numFmtId="21" fontId="0" fillId="0" borderId="0" xfId="0" applyNumberFormat="1"/>
    <xf numFmtId="0" fontId="37" fillId="2" borderId="0" xfId="0" applyFont="1" applyFill="1"/>
    <xf numFmtId="0" fontId="13" fillId="2" borderId="1" xfId="0" applyFont="1" applyFill="1"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0" fillId="0" borderId="0" xfId="0" applyFont="1" applyBorder="1" applyAlignment="1">
      <alignment horizontal="center"/>
    </xf>
    <xf numFmtId="0" fontId="20" fillId="0" borderId="0" xfId="0" applyFont="1" applyBorder="1" applyAlignment="1">
      <alignment horizontal="center" vertical="center" wrapText="1"/>
    </xf>
    <xf numFmtId="0" fontId="0" fillId="0" borderId="0" xfId="0" applyFont="1" applyFill="1" applyBorder="1" applyAlignment="1">
      <alignment horizontal="center"/>
    </xf>
    <xf numFmtId="0" fontId="20" fillId="0" borderId="0" xfId="0" applyFont="1" applyFill="1" applyBorder="1" applyAlignment="1">
      <alignment horizontal="center" vertical="center" wrapText="1"/>
    </xf>
    <xf numFmtId="0" fontId="2" fillId="0" borderId="0" xfId="0" applyFont="1" applyFill="1" applyBorder="1" applyAlignment="1">
      <alignment horizontal="center"/>
    </xf>
    <xf numFmtId="0" fontId="43" fillId="3" borderId="0" xfId="0" applyFont="1" applyFill="1"/>
    <xf numFmtId="0" fontId="2" fillId="0" borderId="0" xfId="0" applyFont="1" applyAlignment="1"/>
    <xf numFmtId="0" fontId="43" fillId="2" borderId="5" xfId="0" applyFont="1" applyFill="1" applyBorder="1" applyAlignment="1">
      <alignment horizontal="center"/>
    </xf>
    <xf numFmtId="0" fontId="2" fillId="2" borderId="5" xfId="0" applyFont="1" applyFill="1" applyBorder="1" applyAlignment="1">
      <alignment horizontal="center"/>
    </xf>
    <xf numFmtId="0" fontId="41" fillId="4" borderId="1" xfId="0" applyFont="1" applyFill="1" applyBorder="1" applyAlignment="1">
      <alignment horizontal="center"/>
    </xf>
    <xf numFmtId="0" fontId="44" fillId="4" borderId="1" xfId="0" applyFont="1" applyFill="1" applyBorder="1" applyAlignment="1">
      <alignment horizontal="center"/>
    </xf>
    <xf numFmtId="0" fontId="2" fillId="0" borderId="1" xfId="0" applyFont="1" applyFill="1" applyBorder="1" applyAlignment="1">
      <alignment horizontal="center"/>
    </xf>
    <xf numFmtId="0" fontId="35" fillId="0"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Fill="1" applyBorder="1" applyAlignment="1">
      <alignment horizontal="center" vertical="center"/>
    </xf>
    <xf numFmtId="0" fontId="45" fillId="0" borderId="1" xfId="0" applyFont="1" applyFill="1" applyBorder="1" applyAlignment="1">
      <alignment horizontal="center" vertical="center" wrapText="1"/>
    </xf>
    <xf numFmtId="0" fontId="45" fillId="0" borderId="1" xfId="0" applyFont="1" applyBorder="1" applyAlignment="1">
      <alignment horizontal="center" vertical="center" wrapText="1"/>
    </xf>
    <xf numFmtId="0" fontId="0" fillId="4" borderId="0"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49" fontId="0" fillId="0" borderId="1" xfId="0" applyNumberFormat="1" applyBorder="1" applyAlignment="1">
      <alignment horizontal="center" vertical="center"/>
    </xf>
    <xf numFmtId="0" fontId="0" fillId="0" borderId="0" xfId="0" quotePrefix="1" applyAlignment="1">
      <alignment horizontal="left" wrapText="1"/>
    </xf>
    <xf numFmtId="0" fontId="0" fillId="0" borderId="0" xfId="0" quotePrefix="1" applyAlignment="1">
      <alignment horizontal="left"/>
    </xf>
    <xf numFmtId="0" fontId="0" fillId="2" borderId="5" xfId="0" applyFill="1" applyBorder="1" applyAlignment="1">
      <alignment horizontal="center"/>
    </xf>
    <xf numFmtId="0" fontId="0" fillId="0" borderId="0" xfId="0" applyAlignment="1">
      <alignment horizontal="left" vertical="center" wrapText="1"/>
    </xf>
    <xf numFmtId="0" fontId="0" fillId="0" borderId="0" xfId="0" applyAlignment="1">
      <alignment horizontal="center" vertical="center" wrapText="1"/>
    </xf>
    <xf numFmtId="0" fontId="22" fillId="6" borderId="10" xfId="0" applyFont="1" applyFill="1" applyBorder="1" applyAlignment="1">
      <alignment horizontal="left" vertical="top" wrapText="1"/>
    </xf>
    <xf numFmtId="0" fontId="22" fillId="6" borderId="11" xfId="0" applyFont="1" applyFill="1" applyBorder="1" applyAlignment="1">
      <alignment horizontal="left" vertical="top" wrapText="1"/>
    </xf>
    <xf numFmtId="0" fontId="21" fillId="7" borderId="10" xfId="0" applyFont="1" applyFill="1" applyBorder="1" applyAlignment="1">
      <alignment horizontal="center" vertical="top" wrapText="1"/>
    </xf>
    <xf numFmtId="0" fontId="21" fillId="7" borderId="11" xfId="0" applyFont="1" applyFill="1" applyBorder="1" applyAlignment="1">
      <alignment horizontal="center" vertical="top" wrapText="1"/>
    </xf>
    <xf numFmtId="0" fontId="22" fillId="8" borderId="10" xfId="0" applyFont="1" applyFill="1" applyBorder="1" applyAlignment="1">
      <alignment horizontal="left" vertical="top" wrapText="1"/>
    </xf>
    <xf numFmtId="0" fontId="22" fillId="8" borderId="11" xfId="0" applyFont="1" applyFill="1" applyBorder="1" applyAlignment="1">
      <alignment horizontal="left" vertical="top" wrapText="1"/>
    </xf>
    <xf numFmtId="0" fontId="11" fillId="8" borderId="10" xfId="1" applyFill="1" applyBorder="1" applyAlignment="1">
      <alignment horizontal="left" vertical="top" wrapText="1"/>
    </xf>
    <xf numFmtId="0" fontId="11" fillId="8" borderId="11" xfId="1" applyFill="1" applyBorder="1" applyAlignment="1">
      <alignment horizontal="left" vertical="top" wrapText="1"/>
    </xf>
    <xf numFmtId="0" fontId="23" fillId="8" borderId="10" xfId="0" applyFont="1" applyFill="1" applyBorder="1" applyAlignment="1">
      <alignment horizontal="left" vertical="top" wrapText="1"/>
    </xf>
    <xf numFmtId="0" fontId="23" fillId="8" borderId="11" xfId="0" applyFont="1" applyFill="1" applyBorder="1" applyAlignment="1">
      <alignment horizontal="left" vertical="top" wrapText="1"/>
    </xf>
    <xf numFmtId="0" fontId="11" fillId="6" borderId="10" xfId="1" applyFill="1" applyBorder="1" applyAlignment="1">
      <alignment horizontal="left" vertical="top" wrapText="1"/>
    </xf>
    <xf numFmtId="0" fontId="11" fillId="6" borderId="11" xfId="1" applyFill="1" applyBorder="1" applyAlignment="1">
      <alignment horizontal="left" vertical="top" wrapText="1"/>
    </xf>
    <xf numFmtId="0" fontId="22" fillId="8" borderId="19" xfId="0" applyFont="1" applyFill="1" applyBorder="1" applyAlignment="1">
      <alignment horizontal="left" vertical="center" wrapText="1"/>
    </xf>
    <xf numFmtId="0" fontId="22" fillId="8" borderId="20" xfId="0" applyFont="1" applyFill="1" applyBorder="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5" xfId="0" applyFill="1" applyBorder="1" applyAlignment="1">
      <alignment horizontal="center" vertical="center"/>
    </xf>
    <xf numFmtId="0" fontId="0" fillId="3" borderId="5" xfId="0" applyFill="1" applyBorder="1" applyAlignment="1">
      <alignment horizontal="center" vertical="center"/>
    </xf>
    <xf numFmtId="0" fontId="0" fillId="0" borderId="2" xfId="0"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Fill="1" applyBorder="1" applyAlignment="1">
      <alignment horizontal="center" vertical="center" wrapText="1"/>
    </xf>
    <xf numFmtId="0" fontId="0" fillId="0" borderId="4" xfId="0" applyFill="1" applyBorder="1" applyAlignment="1">
      <alignment horizontal="center" vertical="center" wrapText="1"/>
    </xf>
    <xf numFmtId="0" fontId="13" fillId="3" borderId="6"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xf>
    <xf numFmtId="0" fontId="0" fillId="0" borderId="1" xfId="0" applyBorder="1" applyAlignment="1">
      <alignment horizontal="center"/>
    </xf>
    <xf numFmtId="0" fontId="0" fillId="0" borderId="2" xfId="0" applyFill="1" applyBorder="1" applyAlignment="1">
      <alignment horizontal="left" vertical="center" wrapText="1"/>
    </xf>
    <xf numFmtId="0" fontId="0" fillId="0" borderId="3" xfId="0" applyFill="1" applyBorder="1" applyAlignment="1">
      <alignment horizontal="left" vertical="center"/>
    </xf>
    <xf numFmtId="0" fontId="0" fillId="0" borderId="4" xfId="0" applyFill="1" applyBorder="1" applyAlignment="1">
      <alignment horizontal="left" vertical="center"/>
    </xf>
    <xf numFmtId="0" fontId="0" fillId="3" borderId="1" xfId="0" applyFill="1" applyBorder="1" applyAlignment="1">
      <alignment horizontal="center" vertical="center" wrapText="1"/>
    </xf>
    <xf numFmtId="0" fontId="46" fillId="3" borderId="1" xfId="0" applyFont="1" applyFill="1" applyBorder="1" applyAlignment="1">
      <alignment horizontal="center" vertical="center" wrapText="1"/>
    </xf>
  </cellXfs>
  <cellStyles count="3">
    <cellStyle name="백분율" xfId="2" builtinId="5"/>
    <cellStyle name="표준" xfId="0" builtinId="0"/>
    <cellStyle name="하이퍼링크" xfId="1" builtinId="8"/>
  </cellStyles>
  <dxfs count="0"/>
  <tableStyles count="0" defaultTableStyle="TableStyleMedium2" defaultPivotStyle="PivotStyleMedium9"/>
  <colors>
    <mruColors>
      <color rgb="FF0B02B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8.png"/><Relationship Id="rId2" Type="http://schemas.openxmlformats.org/officeDocument/2006/relationships/image" Target="../media/image4.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2.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8.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5" Type="http://schemas.openxmlformats.org/officeDocument/2006/relationships/image" Target="../media/image28.png"/><Relationship Id="rId4" Type="http://schemas.openxmlformats.org/officeDocument/2006/relationships/image" Target="../media/image27.png"/></Relationships>
</file>

<file path=xl/drawings/_rels/drawing9.xml.rels><?xml version="1.0" encoding="UTF-8" standalone="yes"?>
<Relationships xmlns="http://schemas.openxmlformats.org/package/2006/relationships"><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360479</xdr:colOff>
      <xdr:row>24</xdr:row>
      <xdr:rowOff>188744</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212912"/>
          <a:ext cx="7285714" cy="5085714"/>
        </a:xfrm>
        <a:prstGeom prst="rect">
          <a:avLst/>
        </a:prstGeom>
      </xdr:spPr>
    </xdr:pic>
    <xdr:clientData/>
  </xdr:twoCellAnchor>
  <xdr:twoCellAnchor editAs="oneCell">
    <xdr:from>
      <xdr:col>0</xdr:col>
      <xdr:colOff>179294</xdr:colOff>
      <xdr:row>27</xdr:row>
      <xdr:rowOff>33617</xdr:rowOff>
    </xdr:from>
    <xdr:to>
      <xdr:col>12</xdr:col>
      <xdr:colOff>156882</xdr:colOff>
      <xdr:row>39</xdr:row>
      <xdr:rowOff>37554</xdr:rowOff>
    </xdr:to>
    <xdr:pic>
      <xdr:nvPicPr>
        <xdr:cNvPr id="5" name="그림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2"/>
        <a:srcRect b="59541"/>
        <a:stretch/>
      </xdr:blipFill>
      <xdr:spPr>
        <a:xfrm>
          <a:off x="179294" y="5782235"/>
          <a:ext cx="8953500" cy="2558878"/>
        </a:xfrm>
        <a:prstGeom prst="rect">
          <a:avLst/>
        </a:prstGeom>
      </xdr:spPr>
    </xdr:pic>
    <xdr:clientData/>
  </xdr:twoCellAnchor>
  <xdr:twoCellAnchor editAs="oneCell">
    <xdr:from>
      <xdr:col>0</xdr:col>
      <xdr:colOff>280146</xdr:colOff>
      <xdr:row>44</xdr:row>
      <xdr:rowOff>179291</xdr:rowOff>
    </xdr:from>
    <xdr:to>
      <xdr:col>12</xdr:col>
      <xdr:colOff>257734</xdr:colOff>
      <xdr:row>61</xdr:row>
      <xdr:rowOff>152518</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a:srcRect t="43194"/>
        <a:stretch/>
      </xdr:blipFill>
      <xdr:spPr>
        <a:xfrm>
          <a:off x="280146" y="9547409"/>
          <a:ext cx="8953500" cy="3592727"/>
        </a:xfrm>
        <a:prstGeom prst="rect">
          <a:avLst/>
        </a:prstGeom>
      </xdr:spPr>
    </xdr:pic>
    <xdr:clientData/>
  </xdr:twoCellAnchor>
  <xdr:twoCellAnchor editAs="oneCell">
    <xdr:from>
      <xdr:col>0</xdr:col>
      <xdr:colOff>1255058</xdr:colOff>
      <xdr:row>38</xdr:row>
      <xdr:rowOff>212910</xdr:rowOff>
    </xdr:from>
    <xdr:to>
      <xdr:col>4</xdr:col>
      <xdr:colOff>338417</xdr:colOff>
      <xdr:row>44</xdr:row>
      <xdr:rowOff>183214</xdr:rowOff>
    </xdr:to>
    <xdr:pic>
      <xdr:nvPicPr>
        <xdr:cNvPr id="7" name="그림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1255058" y="8303557"/>
          <a:ext cx="2590800" cy="1247775"/>
        </a:xfrm>
        <a:prstGeom prst="rect">
          <a:avLst/>
        </a:prstGeom>
      </xdr:spPr>
    </xdr:pic>
    <xdr:clientData/>
  </xdr:twoCellAnchor>
  <xdr:twoCellAnchor editAs="oneCell">
    <xdr:from>
      <xdr:col>4</xdr:col>
      <xdr:colOff>571499</xdr:colOff>
      <xdr:row>39</xdr:row>
      <xdr:rowOff>190499</xdr:rowOff>
    </xdr:from>
    <xdr:to>
      <xdr:col>8</xdr:col>
      <xdr:colOff>428064</xdr:colOff>
      <xdr:row>45</xdr:row>
      <xdr:rowOff>160804</xdr:rowOff>
    </xdr:to>
    <xdr:pic>
      <xdr:nvPicPr>
        <xdr:cNvPr id="8" name="그림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stretch>
          <a:fillRect/>
        </a:stretch>
      </xdr:blipFill>
      <xdr:spPr>
        <a:xfrm>
          <a:off x="4078940" y="8494058"/>
          <a:ext cx="2590800" cy="1247775"/>
        </a:xfrm>
        <a:prstGeom prst="rect">
          <a:avLst/>
        </a:prstGeom>
      </xdr:spPr>
    </xdr:pic>
    <xdr:clientData/>
  </xdr:twoCellAnchor>
  <xdr:twoCellAnchor editAs="oneCell">
    <xdr:from>
      <xdr:col>3</xdr:col>
      <xdr:colOff>582705</xdr:colOff>
      <xdr:row>38</xdr:row>
      <xdr:rowOff>212910</xdr:rowOff>
    </xdr:from>
    <xdr:to>
      <xdr:col>7</xdr:col>
      <xdr:colOff>439269</xdr:colOff>
      <xdr:row>44</xdr:row>
      <xdr:rowOff>183214</xdr:rowOff>
    </xdr:to>
    <xdr:pic>
      <xdr:nvPicPr>
        <xdr:cNvPr id="9" name="그림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3406587" y="8303557"/>
          <a:ext cx="2590800" cy="1247775"/>
        </a:xfrm>
        <a:prstGeom prst="rect">
          <a:avLst/>
        </a:prstGeom>
      </xdr:spPr>
    </xdr:pic>
    <xdr:clientData/>
  </xdr:twoCellAnchor>
  <xdr:twoCellAnchor editAs="oneCell">
    <xdr:from>
      <xdr:col>7</xdr:col>
      <xdr:colOff>403410</xdr:colOff>
      <xdr:row>38</xdr:row>
      <xdr:rowOff>212910</xdr:rowOff>
    </xdr:from>
    <xdr:to>
      <xdr:col>11</xdr:col>
      <xdr:colOff>259975</xdr:colOff>
      <xdr:row>44</xdr:row>
      <xdr:rowOff>183214</xdr:rowOff>
    </xdr:to>
    <xdr:pic>
      <xdr:nvPicPr>
        <xdr:cNvPr id="10" name="그림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5961528" y="8303557"/>
          <a:ext cx="2590800" cy="1247775"/>
        </a:xfrm>
        <a:prstGeom prst="rect">
          <a:avLst/>
        </a:prstGeom>
      </xdr:spPr>
    </xdr:pic>
    <xdr:clientData/>
  </xdr:twoCellAnchor>
  <xdr:twoCellAnchor editAs="oneCell">
    <xdr:from>
      <xdr:col>13</xdr:col>
      <xdr:colOff>302559</xdr:colOff>
      <xdr:row>29</xdr:row>
      <xdr:rowOff>22411</xdr:rowOff>
    </xdr:from>
    <xdr:to>
      <xdr:col>21</xdr:col>
      <xdr:colOff>614262</xdr:colOff>
      <xdr:row>46</xdr:row>
      <xdr:rowOff>89647</xdr:rowOff>
    </xdr:to>
    <xdr:pic>
      <xdr:nvPicPr>
        <xdr:cNvPr id="11" name="그림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a:stretch>
          <a:fillRect/>
        </a:stretch>
      </xdr:blipFill>
      <xdr:spPr>
        <a:xfrm>
          <a:off x="9962030" y="6196852"/>
          <a:ext cx="5780173" cy="3686736"/>
        </a:xfrm>
        <a:prstGeom prst="rect">
          <a:avLst/>
        </a:prstGeom>
      </xdr:spPr>
    </xdr:pic>
    <xdr:clientData/>
  </xdr:twoCellAnchor>
  <xdr:twoCellAnchor editAs="oneCell">
    <xdr:from>
      <xdr:col>0</xdr:col>
      <xdr:colOff>268941</xdr:colOff>
      <xdr:row>63</xdr:row>
      <xdr:rowOff>0</xdr:rowOff>
    </xdr:from>
    <xdr:to>
      <xdr:col>6</xdr:col>
      <xdr:colOff>9525</xdr:colOff>
      <xdr:row>80</xdr:row>
      <xdr:rowOff>0</xdr:rowOff>
    </xdr:to>
    <xdr:pic>
      <xdr:nvPicPr>
        <xdr:cNvPr id="12" name="그림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stretch>
          <a:fillRect/>
        </a:stretch>
      </xdr:blipFill>
      <xdr:spPr>
        <a:xfrm>
          <a:off x="268941" y="13413441"/>
          <a:ext cx="4615143" cy="3619500"/>
        </a:xfrm>
        <a:prstGeom prst="rect">
          <a:avLst/>
        </a:prstGeom>
      </xdr:spPr>
    </xdr:pic>
    <xdr:clientData/>
  </xdr:twoCellAnchor>
  <xdr:twoCellAnchor editAs="oneCell">
    <xdr:from>
      <xdr:col>6</xdr:col>
      <xdr:colOff>84537</xdr:colOff>
      <xdr:row>63</xdr:row>
      <xdr:rowOff>27265</xdr:rowOff>
    </xdr:from>
    <xdr:to>
      <xdr:col>9</xdr:col>
      <xdr:colOff>624661</xdr:colOff>
      <xdr:row>68</xdr:row>
      <xdr:rowOff>210481</xdr:rowOff>
    </xdr:to>
    <xdr:pic>
      <xdr:nvPicPr>
        <xdr:cNvPr id="13" name="그림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stretch>
          <a:fillRect/>
        </a:stretch>
      </xdr:blipFill>
      <xdr:spPr>
        <a:xfrm>
          <a:off x="4959096" y="13440706"/>
          <a:ext cx="2590800" cy="1247775"/>
        </a:xfrm>
        <a:prstGeom prst="rect">
          <a:avLst/>
        </a:prstGeom>
      </xdr:spPr>
    </xdr:pic>
    <xdr:clientData/>
  </xdr:twoCellAnchor>
  <xdr:twoCellAnchor editAs="oneCell">
    <xdr:from>
      <xdr:col>5</xdr:col>
      <xdr:colOff>633625</xdr:colOff>
      <xdr:row>70</xdr:row>
      <xdr:rowOff>7655</xdr:rowOff>
    </xdr:from>
    <xdr:to>
      <xdr:col>13</xdr:col>
      <xdr:colOff>67235</xdr:colOff>
      <xdr:row>80</xdr:row>
      <xdr:rowOff>0</xdr:rowOff>
    </xdr:to>
    <xdr:pic>
      <xdr:nvPicPr>
        <xdr:cNvPr id="14" name="그림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stretch>
          <a:fillRect/>
        </a:stretch>
      </xdr:blipFill>
      <xdr:spPr>
        <a:xfrm>
          <a:off x="4824625" y="14911479"/>
          <a:ext cx="4902081" cy="2121462"/>
        </a:xfrm>
        <a:prstGeom prst="rect">
          <a:avLst/>
        </a:prstGeom>
      </xdr:spPr>
    </xdr:pic>
    <xdr:clientData/>
  </xdr:twoCellAnchor>
  <xdr:twoCellAnchor editAs="oneCell">
    <xdr:from>
      <xdr:col>9</xdr:col>
      <xdr:colOff>364684</xdr:colOff>
      <xdr:row>63</xdr:row>
      <xdr:rowOff>4853</xdr:rowOff>
    </xdr:from>
    <xdr:to>
      <xdr:col>13</xdr:col>
      <xdr:colOff>221248</xdr:colOff>
      <xdr:row>68</xdr:row>
      <xdr:rowOff>188069</xdr:rowOff>
    </xdr:to>
    <xdr:pic>
      <xdr:nvPicPr>
        <xdr:cNvPr id="16" name="그림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
        <a:stretch>
          <a:fillRect/>
        </a:stretch>
      </xdr:blipFill>
      <xdr:spPr>
        <a:xfrm>
          <a:off x="7289919" y="13418294"/>
          <a:ext cx="2590800" cy="1247775"/>
        </a:xfrm>
        <a:prstGeom prst="rect">
          <a:avLst/>
        </a:prstGeom>
      </xdr:spPr>
    </xdr:pic>
    <xdr:clientData/>
  </xdr:twoCellAnchor>
  <xdr:twoCellAnchor>
    <xdr:from>
      <xdr:col>6</xdr:col>
      <xdr:colOff>179295</xdr:colOff>
      <xdr:row>25</xdr:row>
      <xdr:rowOff>89647</xdr:rowOff>
    </xdr:from>
    <xdr:to>
      <xdr:col>9</xdr:col>
      <xdr:colOff>179295</xdr:colOff>
      <xdr:row>26</xdr:row>
      <xdr:rowOff>190500</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5053854" y="5412441"/>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rgbClr val="0B02BE"/>
              </a:solidFill>
              <a:latin typeface="+mn-ea"/>
              <a:ea typeface="+mn-ea"/>
            </a:rPr>
            <a:t>전체 </a:t>
          </a:r>
          <a:r>
            <a:rPr lang="en-US" altLang="ko-KR" sz="1100" b="1">
              <a:solidFill>
                <a:srgbClr val="0B02BE"/>
              </a:solidFill>
              <a:latin typeface="+mn-ea"/>
              <a:ea typeface="+mn-ea"/>
            </a:rPr>
            <a:t>App.vue</a:t>
          </a:r>
          <a:endParaRPr lang="ko-KR" altLang="en-US" sz="1100" b="1">
            <a:solidFill>
              <a:srgbClr val="0B02BE"/>
            </a:solidFill>
            <a:latin typeface="+mn-ea"/>
            <a:ea typeface="+mn-ea"/>
          </a:endParaRPr>
        </a:p>
      </xdr:txBody>
    </xdr:sp>
    <xdr:clientData/>
  </xdr:twoCellAnchor>
  <xdr:twoCellAnchor>
    <xdr:from>
      <xdr:col>6</xdr:col>
      <xdr:colOff>504265</xdr:colOff>
      <xdr:row>27</xdr:row>
      <xdr:rowOff>44823</xdr:rowOff>
    </xdr:from>
    <xdr:to>
      <xdr:col>9</xdr:col>
      <xdr:colOff>504265</xdr:colOff>
      <xdr:row>28</xdr:row>
      <xdr:rowOff>145677</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5378824" y="5793441"/>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1</xdr:col>
      <xdr:colOff>627529</xdr:colOff>
      <xdr:row>30</xdr:row>
      <xdr:rowOff>33618</xdr:rowOff>
    </xdr:from>
    <xdr:to>
      <xdr:col>4</xdr:col>
      <xdr:colOff>549088</xdr:colOff>
      <xdr:row>31</xdr:row>
      <xdr:rowOff>134471</xdr:rowOff>
    </xdr:to>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2005853" y="6420971"/>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xdr:from>
      <xdr:col>1</xdr:col>
      <xdr:colOff>616323</xdr:colOff>
      <xdr:row>38</xdr:row>
      <xdr:rowOff>123265</xdr:rowOff>
    </xdr:from>
    <xdr:to>
      <xdr:col>4</xdr:col>
      <xdr:colOff>537882</xdr:colOff>
      <xdr:row>40</xdr:row>
      <xdr:rowOff>11206</xdr:rowOff>
    </xdr:to>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1994647" y="8213912"/>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Statisctics.vue</a:t>
          </a:r>
          <a:endParaRPr lang="ko-KR" altLang="en-US" sz="1100" b="1">
            <a:solidFill>
              <a:srgbClr val="0B02BE"/>
            </a:solidFill>
            <a:latin typeface="+mn-ea"/>
            <a:ea typeface="+mn-ea"/>
          </a:endParaRPr>
        </a:p>
      </xdr:txBody>
    </xdr:sp>
    <xdr:clientData/>
  </xdr:twoCellAnchor>
  <xdr:twoCellAnchor>
    <xdr:from>
      <xdr:col>2</xdr:col>
      <xdr:colOff>459441</xdr:colOff>
      <xdr:row>45</xdr:row>
      <xdr:rowOff>89647</xdr:rowOff>
    </xdr:from>
    <xdr:to>
      <xdr:col>5</xdr:col>
      <xdr:colOff>459441</xdr:colOff>
      <xdr:row>46</xdr:row>
      <xdr:rowOff>190500</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2599765" y="9670676"/>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Gridtable.vue</a:t>
          </a:r>
          <a:endParaRPr lang="ko-KR" altLang="en-US" sz="1100" b="1">
            <a:solidFill>
              <a:srgbClr val="0B02BE"/>
            </a:solidFill>
            <a:latin typeface="+mn-ea"/>
            <a:ea typeface="+mn-ea"/>
          </a:endParaRPr>
        </a:p>
      </xdr:txBody>
    </xdr:sp>
    <xdr:clientData/>
  </xdr:twoCellAnchor>
  <xdr:twoCellAnchor>
    <xdr:from>
      <xdr:col>16</xdr:col>
      <xdr:colOff>358589</xdr:colOff>
      <xdr:row>33</xdr:row>
      <xdr:rowOff>100854</xdr:rowOff>
    </xdr:from>
    <xdr:to>
      <xdr:col>19</xdr:col>
      <xdr:colOff>358588</xdr:colOff>
      <xdr:row>34</xdr:row>
      <xdr:rowOff>201707</xdr:rowOff>
    </xdr:to>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12068736" y="7126942"/>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Init.vue - Modal</a:t>
          </a:r>
          <a:endParaRPr lang="ko-KR" altLang="en-US" sz="1100" b="1">
            <a:solidFill>
              <a:srgbClr val="0B02BE"/>
            </a:solidFill>
            <a:latin typeface="+mn-ea"/>
            <a:ea typeface="+mn-ea"/>
          </a:endParaRPr>
        </a:p>
      </xdr:txBody>
    </xdr:sp>
    <xdr:clientData/>
  </xdr:twoCellAnchor>
  <xdr:twoCellAnchor>
    <xdr:from>
      <xdr:col>0</xdr:col>
      <xdr:colOff>141192</xdr:colOff>
      <xdr:row>62</xdr:row>
      <xdr:rowOff>129989</xdr:rowOff>
    </xdr:from>
    <xdr:to>
      <xdr:col>13</xdr:col>
      <xdr:colOff>313763</xdr:colOff>
      <xdr:row>80</xdr:row>
      <xdr:rowOff>11206</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41192" y="13330518"/>
          <a:ext cx="9832042" cy="3713629"/>
        </a:xfrm>
        <a:prstGeom prst="rect">
          <a:avLst/>
        </a:prstGeom>
        <a:noFill/>
        <a:ln w="19050" cmpd="sng">
          <a:solidFill>
            <a:srgbClr val="0B02B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Analysis.vue</a:t>
          </a:r>
          <a:endParaRPr lang="ko-KR" altLang="en-US" sz="1100" b="1">
            <a:solidFill>
              <a:srgbClr val="0B02BE"/>
            </a:solidFill>
            <a:latin typeface="+mn-ea"/>
            <a:ea typeface="+mn-ea"/>
            <a:cs typeface="+mn-cs"/>
          </a:endParaRPr>
        </a:p>
      </xdr:txBody>
    </xdr:sp>
    <xdr:clientData/>
  </xdr:twoCellAnchor>
  <xdr:twoCellAnchor>
    <xdr:from>
      <xdr:col>0</xdr:col>
      <xdr:colOff>156882</xdr:colOff>
      <xdr:row>28</xdr:row>
      <xdr:rowOff>201706</xdr:rowOff>
    </xdr:from>
    <xdr:to>
      <xdr:col>12</xdr:col>
      <xdr:colOff>392205</xdr:colOff>
      <xdr:row>62</xdr:row>
      <xdr:rowOff>67236</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56882" y="6163235"/>
          <a:ext cx="9211235" cy="7104530"/>
        </a:xfrm>
        <a:prstGeom prst="rect">
          <a:avLst/>
        </a:prstGeom>
        <a:noFill/>
        <a:ln w="19050" cmpd="sng">
          <a:solidFill>
            <a:srgbClr val="0B02B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Main.vue</a:t>
          </a:r>
          <a:endParaRPr lang="ko-KR" altLang="en-US" sz="1100" b="1">
            <a:solidFill>
              <a:srgbClr val="0B02BE"/>
            </a:solidFill>
            <a:latin typeface="+mn-ea"/>
            <a:ea typeface="+mn-ea"/>
          </a:endParaRPr>
        </a:p>
      </xdr:txBody>
    </xdr:sp>
    <xdr:clientData/>
  </xdr:twoCellAnchor>
  <xdr:twoCellAnchor>
    <xdr:from>
      <xdr:col>2</xdr:col>
      <xdr:colOff>443752</xdr:colOff>
      <xdr:row>70</xdr:row>
      <xdr:rowOff>85164</xdr:rowOff>
    </xdr:from>
    <xdr:to>
      <xdr:col>5</xdr:col>
      <xdr:colOff>443752</xdr:colOff>
      <xdr:row>71</xdr:row>
      <xdr:rowOff>186018</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2584076" y="14988988"/>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Graph.vue</a:t>
          </a:r>
          <a:endParaRPr lang="ko-KR" altLang="en-US" sz="1100" b="1">
            <a:solidFill>
              <a:srgbClr val="0B02BE"/>
            </a:solidFill>
            <a:latin typeface="+mn-ea"/>
            <a:ea typeface="+mn-ea"/>
          </a:endParaRPr>
        </a:p>
      </xdr:txBody>
    </xdr:sp>
    <xdr:clientData/>
  </xdr:twoCellAnchor>
  <xdr:twoCellAnchor>
    <xdr:from>
      <xdr:col>13</xdr:col>
      <xdr:colOff>462802</xdr:colOff>
      <xdr:row>62</xdr:row>
      <xdr:rowOff>170889</xdr:rowOff>
    </xdr:from>
    <xdr:to>
      <xdr:col>16</xdr:col>
      <xdr:colOff>462802</xdr:colOff>
      <xdr:row>64</xdr:row>
      <xdr:rowOff>62193</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0149727" y="13162989"/>
          <a:ext cx="2057400" cy="31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Notice.vue / Warning </a:t>
          </a:r>
          <a:r>
            <a:rPr lang="ko-KR" altLang="en-US" sz="1100" b="1">
              <a:solidFill>
                <a:srgbClr val="0B02BE"/>
              </a:solidFill>
              <a:latin typeface="+mn-ea"/>
              <a:ea typeface="+mn-ea"/>
            </a:rPr>
            <a:t>영역</a:t>
          </a:r>
          <a:endParaRPr lang="en-US" altLang="ko-KR" sz="1100" b="1">
            <a:solidFill>
              <a:srgbClr val="0B02BE"/>
            </a:solidFill>
            <a:latin typeface="+mn-ea"/>
            <a:ea typeface="+mn-ea"/>
          </a:endParaRPr>
        </a:p>
        <a:p>
          <a:endParaRPr lang="ko-KR" altLang="en-US" sz="1100" b="1">
            <a:solidFill>
              <a:srgbClr val="0B02BE"/>
            </a:solidFill>
            <a:latin typeface="+mn-ea"/>
            <a:ea typeface="+mn-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277906</xdr:colOff>
      <xdr:row>38</xdr:row>
      <xdr:rowOff>89647</xdr:rowOff>
    </xdr:from>
    <xdr:to>
      <xdr:col>27</xdr:col>
      <xdr:colOff>605118</xdr:colOff>
      <xdr:row>68</xdr:row>
      <xdr:rowOff>104776</xdr:rowOff>
    </xdr:to>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0531288" y="8180294"/>
          <a:ext cx="9897036" cy="6402482"/>
        </a:xfrm>
        <a:prstGeom prst="rect">
          <a:avLst/>
        </a:prstGeom>
        <a:ln w="38100">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latin typeface="+mn-ea"/>
              <a:ea typeface="+mn-ea"/>
              <a:cs typeface="+mn-cs"/>
            </a:rPr>
            <a:t>Compare.vue</a:t>
          </a:r>
          <a:endParaRPr lang="ko-KR" altLang="en-US" sz="1100" b="1">
            <a:solidFill>
              <a:schemeClr val="accent6">
                <a:lumMod val="75000"/>
              </a:schemeClr>
            </a:solidFill>
            <a:latin typeface="+mn-ea"/>
            <a:ea typeface="+mn-ea"/>
            <a:cs typeface="+mn-cs"/>
          </a:endParaRPr>
        </a:p>
      </xdr:txBody>
    </xdr:sp>
    <xdr:clientData/>
  </xdr:twoCellAnchor>
  <xdr:twoCellAnchor>
    <xdr:from>
      <xdr:col>0</xdr:col>
      <xdr:colOff>257737</xdr:colOff>
      <xdr:row>9</xdr:row>
      <xdr:rowOff>152399</xdr:rowOff>
    </xdr:from>
    <xdr:to>
      <xdr:col>13</xdr:col>
      <xdr:colOff>22413</xdr:colOff>
      <xdr:row>33</xdr:row>
      <xdr:rowOff>89647</xdr:rowOff>
    </xdr:to>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257737" y="2068605"/>
          <a:ext cx="10018058" cy="5047130"/>
        </a:xfrm>
        <a:prstGeom prst="rect">
          <a:avLst/>
        </a:prstGeom>
        <a:noFill/>
        <a:ln w="1905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chemeClr val="accent6">
                  <a:lumMod val="75000"/>
                </a:schemeClr>
              </a:solidFill>
              <a:latin typeface="+mn-ea"/>
              <a:ea typeface="+mn-ea"/>
              <a:cs typeface="+mn-cs"/>
            </a:rPr>
            <a:t>Analysis.vue</a:t>
          </a:r>
          <a:r>
            <a:rPr lang="ko-KR" altLang="en-US" sz="1100" b="1">
              <a:solidFill>
                <a:schemeClr val="accent6">
                  <a:lumMod val="75000"/>
                </a:schemeClr>
              </a:solidFill>
              <a:latin typeface="+mn-ea"/>
              <a:ea typeface="+mn-ea"/>
              <a:cs typeface="+mn-cs"/>
            </a:rPr>
            <a:t>촘ㄳ</a:t>
          </a:r>
        </a:p>
      </xdr:txBody>
    </xdr:sp>
    <xdr:clientData/>
  </xdr:twoCellAnchor>
  <xdr:twoCellAnchor editAs="oneCell">
    <xdr:from>
      <xdr:col>0</xdr:col>
      <xdr:colOff>692525</xdr:colOff>
      <xdr:row>36</xdr:row>
      <xdr:rowOff>59950</xdr:rowOff>
    </xdr:from>
    <xdr:to>
      <xdr:col>12</xdr:col>
      <xdr:colOff>72278</xdr:colOff>
      <xdr:row>48</xdr:row>
      <xdr:rowOff>63888</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srcRect b="59541"/>
        <a:stretch/>
      </xdr:blipFill>
      <xdr:spPr>
        <a:xfrm>
          <a:off x="692525" y="7724774"/>
          <a:ext cx="8949577" cy="2558879"/>
        </a:xfrm>
        <a:prstGeom prst="rect">
          <a:avLst/>
        </a:prstGeom>
      </xdr:spPr>
    </xdr:pic>
    <xdr:clientData/>
  </xdr:twoCellAnchor>
  <xdr:twoCellAnchor editAs="oneCell">
    <xdr:from>
      <xdr:col>0</xdr:col>
      <xdr:colOff>770964</xdr:colOff>
      <xdr:row>49</xdr:row>
      <xdr:rowOff>141752</xdr:rowOff>
    </xdr:from>
    <xdr:to>
      <xdr:col>12</xdr:col>
      <xdr:colOff>150717</xdr:colOff>
      <xdr:row>66</xdr:row>
      <xdr:rowOff>114979</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rotWithShape="1">
        <a:blip xmlns:r="http://schemas.openxmlformats.org/officeDocument/2006/relationships" r:embed="rId1"/>
        <a:srcRect t="43194"/>
        <a:stretch/>
      </xdr:blipFill>
      <xdr:spPr>
        <a:xfrm>
          <a:off x="770964" y="10574428"/>
          <a:ext cx="8949577" cy="3592727"/>
        </a:xfrm>
        <a:prstGeom prst="rect">
          <a:avLst/>
        </a:prstGeom>
      </xdr:spPr>
    </xdr:pic>
    <xdr:clientData/>
  </xdr:twoCellAnchor>
  <xdr:twoCellAnchor editAs="oneCell">
    <xdr:from>
      <xdr:col>13</xdr:col>
      <xdr:colOff>302559</xdr:colOff>
      <xdr:row>9</xdr:row>
      <xdr:rowOff>22411</xdr:rowOff>
    </xdr:from>
    <xdr:to>
      <xdr:col>21</xdr:col>
      <xdr:colOff>614262</xdr:colOff>
      <xdr:row>26</xdr:row>
      <xdr:rowOff>89647</xdr:rowOff>
    </xdr:to>
    <xdr:pic>
      <xdr:nvPicPr>
        <xdr:cNvPr id="9" name="그림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9989484" y="6099361"/>
          <a:ext cx="5798103" cy="3629586"/>
        </a:xfrm>
        <a:prstGeom prst="rect">
          <a:avLst/>
        </a:prstGeom>
      </xdr:spPr>
    </xdr:pic>
    <xdr:clientData/>
  </xdr:twoCellAnchor>
  <xdr:twoCellAnchor editAs="oneCell">
    <xdr:from>
      <xdr:col>0</xdr:col>
      <xdr:colOff>302561</xdr:colOff>
      <xdr:row>15</xdr:row>
      <xdr:rowOff>112061</xdr:rowOff>
    </xdr:from>
    <xdr:to>
      <xdr:col>4</xdr:col>
      <xdr:colOff>672354</xdr:colOff>
      <xdr:row>32</xdr:row>
      <xdr:rowOff>112061</xdr:rowOff>
    </xdr:to>
    <xdr:pic>
      <xdr:nvPicPr>
        <xdr:cNvPr id="10" name="그림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a:stretch>
          <a:fillRect/>
        </a:stretch>
      </xdr:blipFill>
      <xdr:spPr>
        <a:xfrm>
          <a:off x="302561" y="3305737"/>
          <a:ext cx="4471146" cy="3619500"/>
        </a:xfrm>
        <a:prstGeom prst="rect">
          <a:avLst/>
        </a:prstGeom>
      </xdr:spPr>
    </xdr:pic>
    <xdr:clientData/>
  </xdr:twoCellAnchor>
  <xdr:twoCellAnchor editAs="oneCell">
    <xdr:from>
      <xdr:col>5</xdr:col>
      <xdr:colOff>106949</xdr:colOff>
      <xdr:row>21</xdr:row>
      <xdr:rowOff>161735</xdr:rowOff>
    </xdr:from>
    <xdr:to>
      <xdr:col>8</xdr:col>
      <xdr:colOff>647073</xdr:colOff>
      <xdr:row>27</xdr:row>
      <xdr:rowOff>135400</xdr:rowOff>
    </xdr:to>
    <xdr:pic>
      <xdr:nvPicPr>
        <xdr:cNvPr id="11" name="그림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4"/>
        <a:stretch>
          <a:fillRect/>
        </a:stretch>
      </xdr:blipFill>
      <xdr:spPr>
        <a:xfrm>
          <a:off x="4891861" y="4632882"/>
          <a:ext cx="2590800" cy="1251136"/>
        </a:xfrm>
        <a:prstGeom prst="rect">
          <a:avLst/>
        </a:prstGeom>
      </xdr:spPr>
    </xdr:pic>
    <xdr:clientData/>
  </xdr:twoCellAnchor>
  <xdr:twoCellAnchor editAs="oneCell">
    <xdr:from>
      <xdr:col>13</xdr:col>
      <xdr:colOff>409508</xdr:colOff>
      <xdr:row>46</xdr:row>
      <xdr:rowOff>130918</xdr:rowOff>
    </xdr:from>
    <xdr:to>
      <xdr:col>20</xdr:col>
      <xdr:colOff>526676</xdr:colOff>
      <xdr:row>56</xdr:row>
      <xdr:rowOff>123263</xdr:rowOff>
    </xdr:to>
    <xdr:pic>
      <xdr:nvPicPr>
        <xdr:cNvPr id="12" name="그림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5"/>
        <a:stretch>
          <a:fillRect/>
        </a:stretch>
      </xdr:blipFill>
      <xdr:spPr>
        <a:xfrm>
          <a:off x="10662890" y="9924859"/>
          <a:ext cx="4902080" cy="2121463"/>
        </a:xfrm>
        <a:prstGeom prst="rect">
          <a:avLst/>
        </a:prstGeom>
      </xdr:spPr>
    </xdr:pic>
    <xdr:clientData/>
  </xdr:twoCellAnchor>
  <xdr:twoCellAnchor editAs="oneCell">
    <xdr:from>
      <xdr:col>9</xdr:col>
      <xdr:colOff>6096</xdr:colOff>
      <xdr:row>21</xdr:row>
      <xdr:rowOff>161735</xdr:rowOff>
    </xdr:from>
    <xdr:to>
      <xdr:col>12</xdr:col>
      <xdr:colOff>546218</xdr:colOff>
      <xdr:row>27</xdr:row>
      <xdr:rowOff>132039</xdr:rowOff>
    </xdr:to>
    <xdr:pic>
      <xdr:nvPicPr>
        <xdr:cNvPr id="13" name="그림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4"/>
        <a:stretch>
          <a:fillRect/>
        </a:stretch>
      </xdr:blipFill>
      <xdr:spPr>
        <a:xfrm>
          <a:off x="7525243" y="4632882"/>
          <a:ext cx="2590799" cy="1247775"/>
        </a:xfrm>
        <a:prstGeom prst="rect">
          <a:avLst/>
        </a:prstGeom>
      </xdr:spPr>
    </xdr:pic>
    <xdr:clientData/>
  </xdr:twoCellAnchor>
  <xdr:twoCellAnchor>
    <xdr:from>
      <xdr:col>2</xdr:col>
      <xdr:colOff>526678</xdr:colOff>
      <xdr:row>5</xdr:row>
      <xdr:rowOff>33618</xdr:rowOff>
    </xdr:from>
    <xdr:to>
      <xdr:col>5</xdr:col>
      <xdr:colOff>526677</xdr:colOff>
      <xdr:row>6</xdr:row>
      <xdr:rowOff>134471</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260913" y="1098177"/>
          <a:ext cx="2050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rgbClr val="0B02BE"/>
              </a:solidFill>
              <a:latin typeface="+mn-ea"/>
              <a:ea typeface="+mn-ea"/>
            </a:rPr>
            <a:t>전체 </a:t>
          </a:r>
          <a:r>
            <a:rPr lang="en-US" altLang="ko-KR" sz="1100" b="1">
              <a:solidFill>
                <a:srgbClr val="0B02BE"/>
              </a:solidFill>
              <a:latin typeface="+mn-ea"/>
              <a:ea typeface="+mn-ea"/>
            </a:rPr>
            <a:t>App.vue</a:t>
          </a:r>
          <a:endParaRPr lang="ko-KR" altLang="en-US" sz="1100" b="1">
            <a:solidFill>
              <a:srgbClr val="0B02BE"/>
            </a:solidFill>
            <a:latin typeface="+mn-ea"/>
            <a:ea typeface="+mn-ea"/>
          </a:endParaRPr>
        </a:p>
      </xdr:txBody>
    </xdr:sp>
    <xdr:clientData/>
  </xdr:twoCellAnchor>
  <xdr:twoCellAnchor>
    <xdr:from>
      <xdr:col>4</xdr:col>
      <xdr:colOff>382121</xdr:colOff>
      <xdr:row>39</xdr:row>
      <xdr:rowOff>194423</xdr:rowOff>
    </xdr:from>
    <xdr:to>
      <xdr:col>7</xdr:col>
      <xdr:colOff>503706</xdr:colOff>
      <xdr:row>41</xdr:row>
      <xdr:rowOff>85726</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483474" y="8497982"/>
          <a:ext cx="2172261"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Search.vue</a:t>
          </a:r>
          <a:endParaRPr lang="ko-KR" altLang="en-US" sz="1100" b="1">
            <a:solidFill>
              <a:srgbClr val="0B02BE"/>
            </a:solidFill>
            <a:latin typeface="+mn-ea"/>
            <a:ea typeface="+mn-ea"/>
            <a:cs typeface="+mn-cs"/>
          </a:endParaRPr>
        </a:p>
      </xdr:txBody>
    </xdr:sp>
    <xdr:clientData/>
  </xdr:twoCellAnchor>
  <xdr:twoCellAnchor>
    <xdr:from>
      <xdr:col>6</xdr:col>
      <xdr:colOff>303680</xdr:colOff>
      <xdr:row>21</xdr:row>
      <xdr:rowOff>96932</xdr:rowOff>
    </xdr:from>
    <xdr:to>
      <xdr:col>8</xdr:col>
      <xdr:colOff>257737</xdr:colOff>
      <xdr:row>22</xdr:row>
      <xdr:rowOff>194422</xdr:rowOff>
    </xdr:to>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5772151" y="4568079"/>
          <a:ext cx="1321174" cy="31040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Statisctics.vue</a:t>
          </a:r>
          <a:endParaRPr lang="ko-KR" altLang="en-US" sz="1100" b="1">
            <a:solidFill>
              <a:srgbClr val="0B02BE"/>
            </a:solidFill>
            <a:latin typeface="+mn-ea"/>
            <a:ea typeface="+mn-ea"/>
            <a:cs typeface="+mn-cs"/>
          </a:endParaRPr>
        </a:p>
      </xdr:txBody>
    </xdr:sp>
    <xdr:clientData/>
  </xdr:twoCellAnchor>
  <xdr:twoCellAnchor>
    <xdr:from>
      <xdr:col>3</xdr:col>
      <xdr:colOff>257175</xdr:colOff>
      <xdr:row>50</xdr:row>
      <xdr:rowOff>48746</xdr:rowOff>
    </xdr:from>
    <xdr:to>
      <xdr:col>6</xdr:col>
      <xdr:colOff>257174</xdr:colOff>
      <xdr:row>51</xdr:row>
      <xdr:rowOff>152961</xdr:rowOff>
    </xdr:to>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3674969" y="10694334"/>
          <a:ext cx="2050676" cy="31712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Gridtable.vue</a:t>
          </a:r>
          <a:endParaRPr lang="ko-KR" altLang="en-US" sz="1100" b="1">
            <a:solidFill>
              <a:srgbClr val="0B02BE"/>
            </a:solidFill>
            <a:latin typeface="+mn-ea"/>
            <a:ea typeface="+mn-ea"/>
            <a:cs typeface="+mn-cs"/>
          </a:endParaRPr>
        </a:p>
      </xdr:txBody>
    </xdr:sp>
    <xdr:clientData/>
  </xdr:twoCellAnchor>
  <xdr:twoCellAnchor>
    <xdr:from>
      <xdr:col>15</xdr:col>
      <xdr:colOff>201707</xdr:colOff>
      <xdr:row>8</xdr:row>
      <xdr:rowOff>100854</xdr:rowOff>
    </xdr:from>
    <xdr:to>
      <xdr:col>18</xdr:col>
      <xdr:colOff>405093</xdr:colOff>
      <xdr:row>9</xdr:row>
      <xdr:rowOff>201707</xdr:rowOff>
    </xdr:to>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1822207" y="1804148"/>
          <a:ext cx="2254062"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Init.vue - Modal (</a:t>
          </a:r>
          <a:r>
            <a:rPr lang="ko-KR" altLang="en-US" sz="1100" b="1">
              <a:solidFill>
                <a:srgbClr val="0B02BE"/>
              </a:solidFill>
              <a:latin typeface="+mn-ea"/>
              <a:ea typeface="+mn-ea"/>
              <a:cs typeface="+mn-cs"/>
            </a:rPr>
            <a:t>불러오기 필요</a:t>
          </a:r>
          <a:r>
            <a:rPr lang="en-US" altLang="ko-KR" sz="1100" b="1">
              <a:solidFill>
                <a:srgbClr val="0B02BE"/>
              </a:solidFill>
              <a:latin typeface="+mn-ea"/>
              <a:ea typeface="+mn-ea"/>
              <a:cs typeface="+mn-cs"/>
            </a:rPr>
            <a:t>)</a:t>
          </a:r>
          <a:endParaRPr lang="ko-KR" altLang="en-US" sz="1100" b="1">
            <a:solidFill>
              <a:srgbClr val="0B02BE"/>
            </a:solidFill>
            <a:latin typeface="+mn-ea"/>
            <a:ea typeface="+mn-ea"/>
            <a:cs typeface="+mn-cs"/>
          </a:endParaRPr>
        </a:p>
      </xdr:txBody>
    </xdr:sp>
    <xdr:clientData/>
  </xdr:twoCellAnchor>
  <xdr:twoCellAnchor>
    <xdr:from>
      <xdr:col>1</xdr:col>
      <xdr:colOff>824751</xdr:colOff>
      <xdr:row>23</xdr:row>
      <xdr:rowOff>17928</xdr:rowOff>
    </xdr:from>
    <xdr:to>
      <xdr:col>4</xdr:col>
      <xdr:colOff>623046</xdr:colOff>
      <xdr:row>24</xdr:row>
      <xdr:rowOff>118783</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2673722" y="4914899"/>
          <a:ext cx="2050677"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Graph-</a:t>
          </a:r>
          <a:r>
            <a:rPr lang="ko-KR" altLang="en-US" sz="1100" b="1">
              <a:solidFill>
                <a:srgbClr val="0B02BE"/>
              </a:solidFill>
              <a:latin typeface="+mn-ea"/>
              <a:ea typeface="+mn-ea"/>
            </a:rPr>
            <a:t>모양</a:t>
          </a:r>
          <a:r>
            <a:rPr lang="en-US" altLang="ko-KR" sz="1100" b="1">
              <a:solidFill>
                <a:srgbClr val="0B02BE"/>
              </a:solidFill>
              <a:latin typeface="+mn-ea"/>
              <a:ea typeface="+mn-ea"/>
            </a:rPr>
            <a:t>.vue</a:t>
          </a:r>
          <a:endParaRPr lang="ko-KR" altLang="en-US" sz="1100" b="1">
            <a:solidFill>
              <a:srgbClr val="0B02BE"/>
            </a:solidFill>
            <a:latin typeface="+mn-ea"/>
            <a:ea typeface="+mn-ea"/>
          </a:endParaRPr>
        </a:p>
      </xdr:txBody>
    </xdr:sp>
    <xdr:clientData/>
  </xdr:twoCellAnchor>
  <xdr:twoCellAnchor editAs="oneCell">
    <xdr:from>
      <xdr:col>0</xdr:col>
      <xdr:colOff>268941</xdr:colOff>
      <xdr:row>7</xdr:row>
      <xdr:rowOff>133912</xdr:rowOff>
    </xdr:from>
    <xdr:to>
      <xdr:col>11</xdr:col>
      <xdr:colOff>332253</xdr:colOff>
      <xdr:row>9</xdr:row>
      <xdr:rowOff>22412</xdr:rowOff>
    </xdr:to>
    <xdr:pic>
      <xdr:nvPicPr>
        <xdr:cNvPr id="24" name="그림 23">
          <a:extLst>
            <a:ext uri="{FF2B5EF4-FFF2-40B4-BE49-F238E27FC236}">
              <a16:creationId xmlns:a16="http://schemas.microsoft.com/office/drawing/2014/main" id="{00000000-0008-0000-0100-000018000000}"/>
            </a:ext>
          </a:extLst>
        </xdr:cNvPr>
        <xdr:cNvPicPr>
          <a:picLocks noChangeAspect="1"/>
        </xdr:cNvPicPr>
      </xdr:nvPicPr>
      <xdr:blipFill rotWithShape="1">
        <a:blip xmlns:r="http://schemas.openxmlformats.org/officeDocument/2006/relationships" r:embed="rId1"/>
        <a:srcRect b="95030"/>
        <a:stretch/>
      </xdr:blipFill>
      <xdr:spPr>
        <a:xfrm>
          <a:off x="268941" y="1624294"/>
          <a:ext cx="8949577" cy="314324"/>
        </a:xfrm>
        <a:prstGeom prst="rect">
          <a:avLst/>
        </a:prstGeom>
      </xdr:spPr>
    </xdr:pic>
    <xdr:clientData/>
  </xdr:twoCellAnchor>
  <xdr:twoCellAnchor>
    <xdr:from>
      <xdr:col>5</xdr:col>
      <xdr:colOff>89648</xdr:colOff>
      <xdr:row>7</xdr:row>
      <xdr:rowOff>44824</xdr:rowOff>
    </xdr:from>
    <xdr:to>
      <xdr:col>8</xdr:col>
      <xdr:colOff>89648</xdr:colOff>
      <xdr:row>8</xdr:row>
      <xdr:rowOff>145678</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4874560" y="1535206"/>
          <a:ext cx="2050676"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0</xdr:col>
      <xdr:colOff>291353</xdr:colOff>
      <xdr:row>11</xdr:row>
      <xdr:rowOff>2</xdr:rowOff>
    </xdr:from>
    <xdr:to>
      <xdr:col>5</xdr:col>
      <xdr:colOff>176893</xdr:colOff>
      <xdr:row>15</xdr:row>
      <xdr:rowOff>78443</xdr:rowOff>
    </xdr:to>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291353" y="2095502"/>
          <a:ext cx="4117361" cy="8404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 </a:t>
          </a:r>
          <a:r>
            <a:rPr lang="ko-KR" altLang="en-US" sz="1100" b="1">
              <a:solidFill>
                <a:srgbClr val="0B02BE"/>
              </a:solidFill>
              <a:latin typeface="+mn-ea"/>
              <a:ea typeface="+mn-ea"/>
            </a:rPr>
            <a:t>로그 분석관련 기본정보</a:t>
          </a:r>
          <a:endParaRPr lang="en-US" altLang="ko-KR" sz="1100" b="1">
            <a:solidFill>
              <a:srgbClr val="0B02BE"/>
            </a:solidFill>
            <a:latin typeface="+mn-ea"/>
            <a:ea typeface="+mn-ea"/>
          </a:endParaRPr>
        </a:p>
        <a:p>
          <a:r>
            <a:rPr lang="en-US" altLang="ko-KR" sz="1100" b="1">
              <a:solidFill>
                <a:srgbClr val="0B02BE"/>
              </a:solidFill>
              <a:latin typeface="+mn-ea"/>
              <a:ea typeface="+mn-ea"/>
            </a:rPr>
            <a:t>- </a:t>
          </a:r>
          <a:r>
            <a:rPr lang="ko-KR" altLang="en-US" sz="1100" b="1">
              <a:solidFill>
                <a:srgbClr val="0B02BE"/>
              </a:solidFill>
              <a:latin typeface="+mn-ea"/>
              <a:ea typeface="+mn-ea"/>
            </a:rPr>
            <a:t>사이트명</a:t>
          </a:r>
          <a:r>
            <a:rPr lang="en-US" altLang="ko-KR" sz="1100" b="1">
              <a:solidFill>
                <a:srgbClr val="0B02BE"/>
              </a:solidFill>
              <a:latin typeface="+mn-ea"/>
              <a:ea typeface="+mn-ea"/>
            </a:rPr>
            <a:t>(</a:t>
          </a:r>
          <a:r>
            <a:rPr lang="ko-KR" altLang="en-US" sz="1100" b="1">
              <a:solidFill>
                <a:srgbClr val="0B02BE"/>
              </a:solidFill>
              <a:latin typeface="+mn-ea"/>
              <a:ea typeface="+mn-ea"/>
            </a:rPr>
            <a:t>프로젝트명</a:t>
          </a:r>
          <a:r>
            <a:rPr lang="en-US" altLang="ko-KR" sz="1100" b="1">
              <a:solidFill>
                <a:srgbClr val="0B02BE"/>
              </a:solidFill>
              <a:latin typeface="+mn-ea"/>
              <a:ea typeface="+mn-ea"/>
            </a:rPr>
            <a:t>), </a:t>
          </a:r>
          <a:r>
            <a:rPr lang="ko-KR" altLang="en-US" sz="1100" b="1">
              <a:solidFill>
                <a:srgbClr val="0B02BE"/>
              </a:solidFill>
              <a:latin typeface="+mn-ea"/>
              <a:ea typeface="+mn-ea"/>
            </a:rPr>
            <a:t>시간</a:t>
          </a:r>
          <a:r>
            <a:rPr lang="en-US" altLang="ko-KR" sz="1100" b="1">
              <a:solidFill>
                <a:srgbClr val="0B02BE"/>
              </a:solidFill>
              <a:latin typeface="+mn-ea"/>
              <a:ea typeface="+mn-ea"/>
            </a:rPr>
            <a:t>, </a:t>
          </a:r>
          <a:r>
            <a:rPr lang="ko-KR" altLang="en-US" sz="1100" b="1">
              <a:solidFill>
                <a:srgbClr val="0B02BE"/>
              </a:solidFill>
              <a:latin typeface="+mn-ea"/>
              <a:ea typeface="+mn-ea"/>
            </a:rPr>
            <a:t>선택정보</a:t>
          </a:r>
          <a:r>
            <a:rPr lang="en-US" altLang="ko-KR" sz="1100" b="1">
              <a:solidFill>
                <a:srgbClr val="0B02BE"/>
              </a:solidFill>
              <a:latin typeface="+mn-ea"/>
              <a:ea typeface="+mn-ea"/>
            </a:rPr>
            <a:t>(</a:t>
          </a:r>
          <a:r>
            <a:rPr lang="ko-KR" altLang="en-US" sz="1100" b="1">
              <a:solidFill>
                <a:srgbClr val="0B02BE"/>
              </a:solidFill>
              <a:latin typeface="+mn-ea"/>
              <a:ea typeface="+mn-ea"/>
            </a:rPr>
            <a:t>파일포맷</a:t>
          </a:r>
          <a:r>
            <a:rPr lang="en-US" altLang="ko-KR" sz="1100" b="1">
              <a:solidFill>
                <a:srgbClr val="0B02BE"/>
              </a:solidFill>
              <a:latin typeface="+mn-ea"/>
              <a:ea typeface="+mn-ea"/>
            </a:rPr>
            <a:t>, </a:t>
          </a:r>
          <a:r>
            <a:rPr lang="ko-KR" altLang="en-US" sz="1100" b="1">
              <a:solidFill>
                <a:srgbClr val="0B02BE"/>
              </a:solidFill>
              <a:latin typeface="+mn-ea"/>
              <a:ea typeface="+mn-ea"/>
            </a:rPr>
            <a:t>파일명</a:t>
          </a:r>
          <a:r>
            <a:rPr lang="en-US" altLang="ko-KR" sz="1100" b="1" baseline="0">
              <a:solidFill>
                <a:srgbClr val="0B02BE"/>
              </a:solidFill>
              <a:latin typeface="+mn-ea"/>
              <a:ea typeface="+mn-ea"/>
            </a:rPr>
            <a:t> </a:t>
          </a:r>
          <a:r>
            <a:rPr lang="ko-KR" altLang="en-US" sz="1100" b="1" baseline="0">
              <a:solidFill>
                <a:srgbClr val="0B02BE"/>
              </a:solidFill>
              <a:latin typeface="+mn-ea"/>
              <a:ea typeface="+mn-ea"/>
            </a:rPr>
            <a:t>등</a:t>
          </a:r>
          <a:r>
            <a:rPr lang="en-US" altLang="ko-KR" sz="1100" b="1" baseline="0">
              <a:solidFill>
                <a:srgbClr val="0B02BE"/>
              </a:solidFill>
              <a:latin typeface="+mn-ea"/>
              <a:ea typeface="+mn-ea"/>
            </a:rPr>
            <a:t>)</a:t>
          </a:r>
        </a:p>
        <a:p>
          <a:r>
            <a:rPr lang="en-US" altLang="ko-KR" sz="1100" b="1" baseline="0">
              <a:solidFill>
                <a:srgbClr val="FF0000"/>
              </a:solidFill>
              <a:latin typeface="+mn-ea"/>
              <a:ea typeface="+mn-ea"/>
            </a:rPr>
            <a:t>- </a:t>
          </a:r>
          <a:r>
            <a:rPr lang="ko-KR" altLang="en-US" sz="1100" b="1" baseline="0">
              <a:solidFill>
                <a:srgbClr val="FF0000"/>
              </a:solidFill>
              <a:latin typeface="+mn-ea"/>
              <a:ea typeface="+mn-ea"/>
            </a:rPr>
            <a:t>추가</a:t>
          </a:r>
          <a:r>
            <a:rPr lang="en-US" altLang="ko-KR" sz="1100" b="1" baseline="0">
              <a:solidFill>
                <a:srgbClr val="FF0000"/>
              </a:solidFill>
              <a:latin typeface="+mn-ea"/>
              <a:ea typeface="+mn-ea"/>
            </a:rPr>
            <a:t>(07/31) : </a:t>
          </a:r>
          <a:r>
            <a:rPr lang="ko-KR" altLang="en-US" sz="1100" b="1" baseline="0">
              <a:solidFill>
                <a:srgbClr val="FF0000"/>
              </a:solidFill>
              <a:latin typeface="+mn-ea"/>
              <a:ea typeface="+mn-ea"/>
            </a:rPr>
            <a:t>로그 건수</a:t>
          </a:r>
          <a:r>
            <a:rPr lang="en-US" altLang="ko-KR" sz="1100" b="1" baseline="0">
              <a:solidFill>
                <a:srgbClr val="FF0000"/>
              </a:solidFill>
              <a:latin typeface="+mn-ea"/>
              <a:ea typeface="+mn-ea"/>
            </a:rPr>
            <a:t>(</a:t>
          </a:r>
          <a:r>
            <a:rPr lang="ko-KR" altLang="en-US" sz="1100" b="1" baseline="0">
              <a:solidFill>
                <a:srgbClr val="FF0000"/>
              </a:solidFill>
              <a:latin typeface="+mn-ea"/>
              <a:ea typeface="+mn-ea"/>
            </a:rPr>
            <a:t>라인 수</a:t>
          </a:r>
          <a:r>
            <a:rPr lang="en-US" altLang="ko-KR" sz="1100" b="1" baseline="0">
              <a:solidFill>
                <a:srgbClr val="FF0000"/>
              </a:solidFill>
              <a:latin typeface="+mn-ea"/>
              <a:ea typeface="+mn-ea"/>
            </a:rPr>
            <a:t>), </a:t>
          </a:r>
          <a:r>
            <a:rPr lang="ko-KR" altLang="en-US" sz="1100" b="1" baseline="0">
              <a:solidFill>
                <a:srgbClr val="FF0000"/>
              </a:solidFill>
              <a:latin typeface="+mn-ea"/>
              <a:ea typeface="+mn-ea"/>
            </a:rPr>
            <a:t>시작 시간</a:t>
          </a:r>
          <a:r>
            <a:rPr lang="en-US" altLang="ko-KR" sz="1100" b="1" baseline="0">
              <a:solidFill>
                <a:srgbClr val="FF0000"/>
              </a:solidFill>
              <a:latin typeface="+mn-ea"/>
              <a:ea typeface="+mn-ea"/>
            </a:rPr>
            <a:t>/</a:t>
          </a:r>
          <a:r>
            <a:rPr lang="ko-KR" altLang="en-US" sz="1100" b="1" baseline="0">
              <a:solidFill>
                <a:srgbClr val="FF0000"/>
              </a:solidFill>
              <a:latin typeface="+mn-ea"/>
              <a:ea typeface="+mn-ea"/>
            </a:rPr>
            <a:t>끝 시간</a:t>
          </a:r>
          <a:endParaRPr lang="en-US" altLang="ko-KR" sz="1100" b="1" baseline="0">
            <a:solidFill>
              <a:srgbClr val="FF0000"/>
            </a:solidFill>
            <a:latin typeface="+mn-ea"/>
            <a:ea typeface="+mn-ea"/>
          </a:endParaRPr>
        </a:p>
        <a:p>
          <a:endParaRPr lang="ko-KR" altLang="en-US" sz="1100" b="1">
            <a:solidFill>
              <a:srgbClr val="0B02BE"/>
            </a:solidFill>
            <a:latin typeface="+mn-ea"/>
            <a:ea typeface="+mn-ea"/>
          </a:endParaRPr>
        </a:p>
      </xdr:txBody>
    </xdr:sp>
    <xdr:clientData/>
  </xdr:twoCellAnchor>
  <xdr:twoCellAnchor>
    <xdr:from>
      <xdr:col>5</xdr:col>
      <xdr:colOff>44823</xdr:colOff>
      <xdr:row>11</xdr:row>
      <xdr:rowOff>2</xdr:rowOff>
    </xdr:from>
    <xdr:to>
      <xdr:col>11</xdr:col>
      <xdr:colOff>414617</xdr:colOff>
      <xdr:row>15</xdr:row>
      <xdr:rowOff>78443</xdr:rowOff>
    </xdr:to>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4829735" y="2342031"/>
          <a:ext cx="4471147" cy="930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latin typeface="+mn-ea"/>
              <a:ea typeface="+mn-ea"/>
            </a:rPr>
            <a:t>* </a:t>
          </a:r>
          <a:r>
            <a:rPr lang="ko-KR" altLang="en-US" sz="1100" b="1">
              <a:solidFill>
                <a:srgbClr val="FF0000"/>
              </a:solidFill>
              <a:latin typeface="+mn-ea"/>
              <a:ea typeface="+mn-ea"/>
            </a:rPr>
            <a:t>특이사항</a:t>
          </a:r>
          <a:r>
            <a:rPr lang="en-US" altLang="ko-KR" sz="1100" b="1">
              <a:solidFill>
                <a:srgbClr val="FF0000"/>
              </a:solidFill>
              <a:latin typeface="+mn-ea"/>
              <a:ea typeface="+mn-ea"/>
            </a:rPr>
            <a:t>(Warning</a:t>
          </a:r>
          <a:r>
            <a:rPr lang="en-US" altLang="ko-KR" sz="1100" b="1" baseline="0">
              <a:solidFill>
                <a:srgbClr val="FF0000"/>
              </a:solidFill>
              <a:latin typeface="+mn-ea"/>
              <a:ea typeface="+mn-ea"/>
            </a:rPr>
            <a:t> or Suspect)</a:t>
          </a:r>
          <a:endParaRPr lang="en-US" altLang="ko-KR" sz="1100" b="1">
            <a:solidFill>
              <a:srgbClr val="FF0000"/>
            </a:solidFill>
            <a:latin typeface="+mn-ea"/>
            <a:ea typeface="+mn-ea"/>
          </a:endParaRPr>
        </a:p>
        <a:p>
          <a:r>
            <a:rPr lang="en-US" altLang="ko-KR" sz="1100" b="1">
              <a:solidFill>
                <a:srgbClr val="0B02BE"/>
              </a:solidFill>
              <a:latin typeface="+mn-ea"/>
              <a:ea typeface="+mn-ea"/>
            </a:rPr>
            <a:t>- </a:t>
          </a:r>
          <a:r>
            <a:rPr lang="ko-KR" altLang="en-US" sz="1100" b="1">
              <a:solidFill>
                <a:srgbClr val="0B02BE"/>
              </a:solidFill>
              <a:latin typeface="+mn-ea"/>
              <a:ea typeface="+mn-ea"/>
            </a:rPr>
            <a:t>사이트명</a:t>
          </a:r>
          <a:r>
            <a:rPr lang="en-US" altLang="ko-KR" sz="1100" b="1">
              <a:solidFill>
                <a:srgbClr val="0B02BE"/>
              </a:solidFill>
              <a:latin typeface="+mn-ea"/>
              <a:ea typeface="+mn-ea"/>
            </a:rPr>
            <a:t>(</a:t>
          </a:r>
          <a:r>
            <a:rPr lang="ko-KR" altLang="en-US" sz="1100" b="1">
              <a:solidFill>
                <a:srgbClr val="0B02BE"/>
              </a:solidFill>
              <a:latin typeface="+mn-ea"/>
              <a:ea typeface="+mn-ea"/>
            </a:rPr>
            <a:t>프로젝트명</a:t>
          </a:r>
          <a:r>
            <a:rPr lang="en-US" altLang="ko-KR" sz="1100" b="1">
              <a:solidFill>
                <a:srgbClr val="0B02BE"/>
              </a:solidFill>
              <a:latin typeface="+mn-ea"/>
              <a:ea typeface="+mn-ea"/>
            </a:rPr>
            <a:t>), </a:t>
          </a:r>
          <a:r>
            <a:rPr lang="ko-KR" altLang="en-US" sz="1100" b="1">
              <a:solidFill>
                <a:srgbClr val="0B02BE"/>
              </a:solidFill>
              <a:latin typeface="+mn-ea"/>
              <a:ea typeface="+mn-ea"/>
            </a:rPr>
            <a:t>시간</a:t>
          </a:r>
          <a:r>
            <a:rPr lang="en-US" altLang="ko-KR" sz="1100" b="1">
              <a:solidFill>
                <a:srgbClr val="0B02BE"/>
              </a:solidFill>
              <a:latin typeface="+mn-ea"/>
              <a:ea typeface="+mn-ea"/>
            </a:rPr>
            <a:t>, </a:t>
          </a:r>
          <a:r>
            <a:rPr lang="ko-KR" altLang="en-US" sz="1100" b="1">
              <a:solidFill>
                <a:srgbClr val="0B02BE"/>
              </a:solidFill>
              <a:latin typeface="+mn-ea"/>
              <a:ea typeface="+mn-ea"/>
            </a:rPr>
            <a:t>선택정보</a:t>
          </a:r>
          <a:r>
            <a:rPr lang="en-US" altLang="ko-KR" sz="1100" b="1">
              <a:solidFill>
                <a:srgbClr val="0B02BE"/>
              </a:solidFill>
              <a:latin typeface="+mn-ea"/>
              <a:ea typeface="+mn-ea"/>
            </a:rPr>
            <a:t>(</a:t>
          </a:r>
          <a:r>
            <a:rPr lang="ko-KR" altLang="en-US" sz="1100" b="1">
              <a:solidFill>
                <a:srgbClr val="0B02BE"/>
              </a:solidFill>
              <a:latin typeface="+mn-ea"/>
              <a:ea typeface="+mn-ea"/>
            </a:rPr>
            <a:t>파일포맷</a:t>
          </a:r>
          <a:r>
            <a:rPr lang="en-US" altLang="ko-KR" sz="1100" b="1">
              <a:solidFill>
                <a:srgbClr val="0B02BE"/>
              </a:solidFill>
              <a:latin typeface="+mn-ea"/>
              <a:ea typeface="+mn-ea"/>
            </a:rPr>
            <a:t>, </a:t>
          </a:r>
          <a:r>
            <a:rPr lang="ko-KR" altLang="en-US" sz="1100" b="1">
              <a:solidFill>
                <a:srgbClr val="0B02BE"/>
              </a:solidFill>
              <a:latin typeface="+mn-ea"/>
              <a:ea typeface="+mn-ea"/>
            </a:rPr>
            <a:t>파일명</a:t>
          </a:r>
          <a:r>
            <a:rPr lang="en-US" altLang="ko-KR" sz="1100" b="1" baseline="0">
              <a:solidFill>
                <a:srgbClr val="0B02BE"/>
              </a:solidFill>
              <a:latin typeface="+mn-ea"/>
              <a:ea typeface="+mn-ea"/>
            </a:rPr>
            <a:t> </a:t>
          </a:r>
          <a:r>
            <a:rPr lang="ko-KR" altLang="en-US" sz="1100" b="1" baseline="0">
              <a:solidFill>
                <a:srgbClr val="0B02BE"/>
              </a:solidFill>
              <a:latin typeface="+mn-ea"/>
              <a:ea typeface="+mn-ea"/>
            </a:rPr>
            <a:t>등</a:t>
          </a:r>
          <a:r>
            <a:rPr lang="en-US" altLang="ko-KR" sz="1100" b="1" baseline="0">
              <a:solidFill>
                <a:srgbClr val="0B02BE"/>
              </a:solidFill>
              <a:latin typeface="+mn-ea"/>
              <a:ea typeface="+mn-ea"/>
            </a:rPr>
            <a:t>)</a:t>
          </a:r>
        </a:p>
        <a:p>
          <a:endParaRPr lang="ko-KR" altLang="en-US" sz="1100" b="1">
            <a:solidFill>
              <a:srgbClr val="0B02BE"/>
            </a:solidFill>
            <a:latin typeface="+mn-ea"/>
            <a:ea typeface="+mn-ea"/>
          </a:endParaRPr>
        </a:p>
      </xdr:txBody>
    </xdr:sp>
    <xdr:clientData/>
  </xdr:twoCellAnchor>
  <xdr:twoCellAnchor>
    <xdr:from>
      <xdr:col>8</xdr:col>
      <xdr:colOff>530037</xdr:colOff>
      <xdr:row>10</xdr:row>
      <xdr:rowOff>103653</xdr:rowOff>
    </xdr:from>
    <xdr:to>
      <xdr:col>11</xdr:col>
      <xdr:colOff>530037</xdr:colOff>
      <xdr:row>11</xdr:row>
      <xdr:rowOff>207870</xdr:rowOff>
    </xdr:to>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7365625" y="2232771"/>
          <a:ext cx="2050677" cy="31712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Notice.vue / Warning </a:t>
          </a:r>
          <a:r>
            <a:rPr lang="ko-KR" altLang="en-US" sz="1100" b="1">
              <a:solidFill>
                <a:srgbClr val="0B02BE"/>
              </a:solidFill>
              <a:latin typeface="+mn-ea"/>
              <a:ea typeface="+mn-ea"/>
            </a:rPr>
            <a:t>영역</a:t>
          </a:r>
          <a:endParaRPr lang="en-US" altLang="ko-KR" sz="1100" b="1">
            <a:solidFill>
              <a:srgbClr val="0B02BE"/>
            </a:solidFill>
            <a:latin typeface="+mn-ea"/>
            <a:ea typeface="+mn-ea"/>
          </a:endParaRPr>
        </a:p>
        <a:p>
          <a:endParaRPr lang="ko-KR" altLang="en-US" sz="1100" b="1">
            <a:solidFill>
              <a:srgbClr val="0B02BE"/>
            </a:solidFill>
            <a:latin typeface="+mn-ea"/>
            <a:ea typeface="+mn-ea"/>
          </a:endParaRPr>
        </a:p>
      </xdr:txBody>
    </xdr:sp>
    <xdr:clientData/>
  </xdr:twoCellAnchor>
  <xdr:twoCellAnchor>
    <xdr:from>
      <xdr:col>1</xdr:col>
      <xdr:colOff>843801</xdr:colOff>
      <xdr:row>10</xdr:row>
      <xdr:rowOff>81241</xdr:rowOff>
    </xdr:from>
    <xdr:to>
      <xdr:col>4</xdr:col>
      <xdr:colOff>642096</xdr:colOff>
      <xdr:row>11</xdr:row>
      <xdr:rowOff>185458</xdr:rowOff>
    </xdr:to>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2692772" y="2210359"/>
          <a:ext cx="2050677" cy="31712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Info.vue</a:t>
          </a:r>
        </a:p>
      </xdr:txBody>
    </xdr:sp>
    <xdr:clientData/>
  </xdr:twoCellAnchor>
  <xdr:twoCellAnchor editAs="oneCell">
    <xdr:from>
      <xdr:col>5</xdr:col>
      <xdr:colOff>124879</xdr:colOff>
      <xdr:row>27</xdr:row>
      <xdr:rowOff>11575</xdr:rowOff>
    </xdr:from>
    <xdr:to>
      <xdr:col>8</xdr:col>
      <xdr:colOff>665003</xdr:colOff>
      <xdr:row>32</xdr:row>
      <xdr:rowOff>198153</xdr:rowOff>
    </xdr:to>
    <xdr:pic>
      <xdr:nvPicPr>
        <xdr:cNvPr id="28" name="그림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4"/>
        <a:stretch>
          <a:fillRect/>
        </a:stretch>
      </xdr:blipFill>
      <xdr:spPr>
        <a:xfrm>
          <a:off x="4909791" y="5760193"/>
          <a:ext cx="2590800" cy="1251136"/>
        </a:xfrm>
        <a:prstGeom prst="rect">
          <a:avLst/>
        </a:prstGeom>
      </xdr:spPr>
    </xdr:pic>
    <xdr:clientData/>
  </xdr:twoCellAnchor>
  <xdr:twoCellAnchor editAs="oneCell">
    <xdr:from>
      <xdr:col>9</xdr:col>
      <xdr:colOff>24026</xdr:colOff>
      <xdr:row>27</xdr:row>
      <xdr:rowOff>11575</xdr:rowOff>
    </xdr:from>
    <xdr:to>
      <xdr:col>12</xdr:col>
      <xdr:colOff>564148</xdr:colOff>
      <xdr:row>32</xdr:row>
      <xdr:rowOff>194792</xdr:rowOff>
    </xdr:to>
    <xdr:pic>
      <xdr:nvPicPr>
        <xdr:cNvPr id="29" name="그림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4"/>
        <a:stretch>
          <a:fillRect/>
        </a:stretch>
      </xdr:blipFill>
      <xdr:spPr>
        <a:xfrm>
          <a:off x="7543173" y="5760193"/>
          <a:ext cx="2590799" cy="1247775"/>
        </a:xfrm>
        <a:prstGeom prst="rect">
          <a:avLst/>
        </a:prstGeom>
      </xdr:spPr>
    </xdr:pic>
    <xdr:clientData/>
  </xdr:twoCellAnchor>
  <xdr:twoCellAnchor editAs="oneCell">
    <xdr:from>
      <xdr:col>5</xdr:col>
      <xdr:colOff>67235</xdr:colOff>
      <xdr:row>15</xdr:row>
      <xdr:rowOff>123266</xdr:rowOff>
    </xdr:from>
    <xdr:to>
      <xdr:col>12</xdr:col>
      <xdr:colOff>526676</xdr:colOff>
      <xdr:row>21</xdr:row>
      <xdr:rowOff>78441</xdr:rowOff>
    </xdr:to>
    <xdr:pic>
      <xdr:nvPicPr>
        <xdr:cNvPr id="30" name="그림 29">
          <a:extLst>
            <a:ext uri="{FF2B5EF4-FFF2-40B4-BE49-F238E27FC236}">
              <a16:creationId xmlns:a16="http://schemas.microsoft.com/office/drawing/2014/main" id="{00000000-0008-0000-0100-00001E000000}"/>
            </a:ext>
          </a:extLst>
        </xdr:cNvPr>
        <xdr:cNvPicPr>
          <a:picLocks noChangeAspect="1"/>
        </xdr:cNvPicPr>
      </xdr:nvPicPr>
      <xdr:blipFill rotWithShape="1">
        <a:blip xmlns:r="http://schemas.openxmlformats.org/officeDocument/2006/relationships" r:embed="rId1"/>
        <a:srcRect l="12897" t="14289" r="13104" b="59541"/>
        <a:stretch/>
      </xdr:blipFill>
      <xdr:spPr>
        <a:xfrm>
          <a:off x="4852147" y="3316942"/>
          <a:ext cx="5244353" cy="1232646"/>
        </a:xfrm>
        <a:prstGeom prst="rect">
          <a:avLst/>
        </a:prstGeom>
      </xdr:spPr>
    </xdr:pic>
    <xdr:clientData/>
  </xdr:twoCellAnchor>
  <xdr:twoCellAnchor>
    <xdr:from>
      <xdr:col>9</xdr:col>
      <xdr:colOff>303679</xdr:colOff>
      <xdr:row>18</xdr:row>
      <xdr:rowOff>205628</xdr:rowOff>
    </xdr:from>
    <xdr:to>
      <xdr:col>11</xdr:col>
      <xdr:colOff>0</xdr:colOff>
      <xdr:row>20</xdr:row>
      <xdr:rowOff>96931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7822826" y="4038040"/>
          <a:ext cx="1063439"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editAs="oneCell">
    <xdr:from>
      <xdr:col>13</xdr:col>
      <xdr:colOff>443754</xdr:colOff>
      <xdr:row>40</xdr:row>
      <xdr:rowOff>62753</xdr:rowOff>
    </xdr:from>
    <xdr:to>
      <xdr:col>20</xdr:col>
      <xdr:colOff>481854</xdr:colOff>
      <xdr:row>46</xdr:row>
      <xdr:rowOff>17929</xdr:rowOff>
    </xdr:to>
    <xdr:pic>
      <xdr:nvPicPr>
        <xdr:cNvPr id="35" name="그림 34">
          <a:extLst>
            <a:ext uri="{FF2B5EF4-FFF2-40B4-BE49-F238E27FC236}">
              <a16:creationId xmlns:a16="http://schemas.microsoft.com/office/drawing/2014/main" id="{00000000-0008-0000-0100-000023000000}"/>
            </a:ext>
          </a:extLst>
        </xdr:cNvPr>
        <xdr:cNvPicPr>
          <a:picLocks noChangeAspect="1"/>
        </xdr:cNvPicPr>
      </xdr:nvPicPr>
      <xdr:blipFill rotWithShape="1">
        <a:blip xmlns:r="http://schemas.openxmlformats.org/officeDocument/2006/relationships" r:embed="rId1"/>
        <a:srcRect l="12897" t="14289" r="13104" b="59541"/>
        <a:stretch/>
      </xdr:blipFill>
      <xdr:spPr>
        <a:xfrm>
          <a:off x="10697136" y="8579224"/>
          <a:ext cx="4823012" cy="1232646"/>
        </a:xfrm>
        <a:prstGeom prst="rect">
          <a:avLst/>
        </a:prstGeom>
      </xdr:spPr>
    </xdr:pic>
    <xdr:clientData/>
  </xdr:twoCellAnchor>
  <xdr:twoCellAnchor>
    <xdr:from>
      <xdr:col>17</xdr:col>
      <xdr:colOff>680197</xdr:colOff>
      <xdr:row>43</xdr:row>
      <xdr:rowOff>145116</xdr:rowOff>
    </xdr:from>
    <xdr:to>
      <xdr:col>19</xdr:col>
      <xdr:colOff>291080</xdr:colOff>
      <xdr:row>45</xdr:row>
      <xdr:rowOff>36419</xdr:rowOff>
    </xdr:to>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3667815" y="9300322"/>
          <a:ext cx="978000"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xdr:from>
      <xdr:col>0</xdr:col>
      <xdr:colOff>333935</xdr:colOff>
      <xdr:row>38</xdr:row>
      <xdr:rowOff>78441</xdr:rowOff>
    </xdr:from>
    <xdr:to>
      <xdr:col>12</xdr:col>
      <xdr:colOff>661147</xdr:colOff>
      <xdr:row>68</xdr:row>
      <xdr:rowOff>93570</xdr:rowOff>
    </xdr:to>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333935" y="8169088"/>
          <a:ext cx="9897036" cy="6402482"/>
        </a:xfrm>
        <a:prstGeom prst="rect">
          <a:avLst/>
        </a:prstGeom>
        <a:ln w="38100">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latin typeface="+mn-ea"/>
              <a:ea typeface="+mn-ea"/>
              <a:cs typeface="+mn-cs"/>
            </a:rPr>
            <a:t>Detail.vue</a:t>
          </a:r>
          <a:endParaRPr lang="ko-KR" altLang="en-US" sz="1100" b="1">
            <a:solidFill>
              <a:schemeClr val="accent6">
                <a:lumMod val="75000"/>
              </a:schemeClr>
            </a:solidFill>
            <a:latin typeface="+mn-ea"/>
            <a:ea typeface="+mn-ea"/>
            <a:cs typeface="+mn-cs"/>
          </a:endParaRPr>
        </a:p>
      </xdr:txBody>
    </xdr:sp>
    <xdr:clientData/>
  </xdr:twoCellAnchor>
  <xdr:twoCellAnchor editAs="oneCell">
    <xdr:from>
      <xdr:col>20</xdr:col>
      <xdr:colOff>528918</xdr:colOff>
      <xdr:row>40</xdr:row>
      <xdr:rowOff>69476</xdr:rowOff>
    </xdr:from>
    <xdr:to>
      <xdr:col>27</xdr:col>
      <xdr:colOff>567018</xdr:colOff>
      <xdr:row>46</xdr:row>
      <xdr:rowOff>24652</xdr:rowOff>
    </xdr:to>
    <xdr:pic>
      <xdr:nvPicPr>
        <xdr:cNvPr id="37" name="그림 36">
          <a:extLst>
            <a:ext uri="{FF2B5EF4-FFF2-40B4-BE49-F238E27FC236}">
              <a16:creationId xmlns:a16="http://schemas.microsoft.com/office/drawing/2014/main" id="{00000000-0008-0000-0100-000025000000}"/>
            </a:ext>
          </a:extLst>
        </xdr:cNvPr>
        <xdr:cNvPicPr>
          <a:picLocks noChangeAspect="1"/>
        </xdr:cNvPicPr>
      </xdr:nvPicPr>
      <xdr:blipFill rotWithShape="1">
        <a:blip xmlns:r="http://schemas.openxmlformats.org/officeDocument/2006/relationships" r:embed="rId1"/>
        <a:srcRect l="12897" t="14289" r="13104" b="59541"/>
        <a:stretch/>
      </xdr:blipFill>
      <xdr:spPr>
        <a:xfrm>
          <a:off x="15567212" y="8585947"/>
          <a:ext cx="4823012" cy="1232646"/>
        </a:xfrm>
        <a:prstGeom prst="rect">
          <a:avLst/>
        </a:prstGeom>
      </xdr:spPr>
    </xdr:pic>
    <xdr:clientData/>
  </xdr:twoCellAnchor>
  <xdr:twoCellAnchor>
    <xdr:from>
      <xdr:col>25</xdr:col>
      <xdr:colOff>81803</xdr:colOff>
      <xdr:row>43</xdr:row>
      <xdr:rowOff>151839</xdr:rowOff>
    </xdr:from>
    <xdr:to>
      <xdr:col>26</xdr:col>
      <xdr:colOff>376244</xdr:colOff>
      <xdr:row>45</xdr:row>
      <xdr:rowOff>43142</xdr:rowOff>
    </xdr:to>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8537891" y="9307045"/>
          <a:ext cx="978000"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editAs="oneCell">
    <xdr:from>
      <xdr:col>20</xdr:col>
      <xdr:colOff>487949</xdr:colOff>
      <xdr:row>46</xdr:row>
      <xdr:rowOff>86094</xdr:rowOff>
    </xdr:from>
    <xdr:to>
      <xdr:col>27</xdr:col>
      <xdr:colOff>605117</xdr:colOff>
      <xdr:row>56</xdr:row>
      <xdr:rowOff>78439</xdr:rowOff>
    </xdr:to>
    <xdr:pic>
      <xdr:nvPicPr>
        <xdr:cNvPr id="39" name="그림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5"/>
        <a:stretch>
          <a:fillRect/>
        </a:stretch>
      </xdr:blipFill>
      <xdr:spPr>
        <a:xfrm>
          <a:off x="15526243" y="9880035"/>
          <a:ext cx="4902080" cy="2121463"/>
        </a:xfrm>
        <a:prstGeom prst="rect">
          <a:avLst/>
        </a:prstGeom>
      </xdr:spPr>
    </xdr:pic>
    <xdr:clientData/>
  </xdr:twoCellAnchor>
  <xdr:twoCellAnchor editAs="oneCell">
    <xdr:from>
      <xdr:col>13</xdr:col>
      <xdr:colOff>468407</xdr:colOff>
      <xdr:row>57</xdr:row>
      <xdr:rowOff>78441</xdr:rowOff>
    </xdr:from>
    <xdr:to>
      <xdr:col>20</xdr:col>
      <xdr:colOff>392207</xdr:colOff>
      <xdr:row>68</xdr:row>
      <xdr:rowOff>22412</xdr:rowOff>
    </xdr:to>
    <xdr:pic>
      <xdr:nvPicPr>
        <xdr:cNvPr id="40" name="그림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6"/>
        <a:stretch>
          <a:fillRect/>
        </a:stretch>
      </xdr:blipFill>
      <xdr:spPr>
        <a:xfrm>
          <a:off x="10721789" y="12214412"/>
          <a:ext cx="4708712" cy="2286000"/>
        </a:xfrm>
        <a:prstGeom prst="rect">
          <a:avLst/>
        </a:prstGeom>
      </xdr:spPr>
    </xdr:pic>
    <xdr:clientData/>
  </xdr:twoCellAnchor>
  <xdr:twoCellAnchor editAs="oneCell">
    <xdr:from>
      <xdr:col>20</xdr:col>
      <xdr:colOff>515472</xdr:colOff>
      <xdr:row>57</xdr:row>
      <xdr:rowOff>201704</xdr:rowOff>
    </xdr:from>
    <xdr:to>
      <xdr:col>24</xdr:col>
      <xdr:colOff>56029</xdr:colOff>
      <xdr:row>67</xdr:row>
      <xdr:rowOff>100852</xdr:rowOff>
    </xdr:to>
    <xdr:pic>
      <xdr:nvPicPr>
        <xdr:cNvPr id="42" name="그림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7"/>
        <a:stretch>
          <a:fillRect/>
        </a:stretch>
      </xdr:blipFill>
      <xdr:spPr>
        <a:xfrm>
          <a:off x="15553766" y="12337675"/>
          <a:ext cx="2274792" cy="2028265"/>
        </a:xfrm>
        <a:prstGeom prst="rect">
          <a:avLst/>
        </a:prstGeom>
      </xdr:spPr>
    </xdr:pic>
    <xdr:clientData/>
  </xdr:twoCellAnchor>
  <xdr:twoCellAnchor editAs="oneCell">
    <xdr:from>
      <xdr:col>24</xdr:col>
      <xdr:colOff>224119</xdr:colOff>
      <xdr:row>57</xdr:row>
      <xdr:rowOff>190498</xdr:rowOff>
    </xdr:from>
    <xdr:to>
      <xdr:col>27</xdr:col>
      <xdr:colOff>448234</xdr:colOff>
      <xdr:row>67</xdr:row>
      <xdr:rowOff>89646</xdr:rowOff>
    </xdr:to>
    <xdr:pic>
      <xdr:nvPicPr>
        <xdr:cNvPr id="43" name="그림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7"/>
        <a:stretch>
          <a:fillRect/>
        </a:stretch>
      </xdr:blipFill>
      <xdr:spPr>
        <a:xfrm>
          <a:off x="17996648" y="12326469"/>
          <a:ext cx="2274792" cy="2028265"/>
        </a:xfrm>
        <a:prstGeom prst="rect">
          <a:avLst/>
        </a:prstGeom>
      </xdr:spPr>
    </xdr:pic>
    <xdr:clientData/>
  </xdr:twoCellAnchor>
  <xdr:twoCellAnchor>
    <xdr:from>
      <xdr:col>19</xdr:col>
      <xdr:colOff>562534</xdr:colOff>
      <xdr:row>55</xdr:row>
      <xdr:rowOff>181534</xdr:rowOff>
    </xdr:from>
    <xdr:to>
      <xdr:col>22</xdr:col>
      <xdr:colOff>562534</xdr:colOff>
      <xdr:row>57</xdr:row>
      <xdr:rowOff>69476</xdr:rowOff>
    </xdr:to>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17269" y="11891681"/>
          <a:ext cx="2050677"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Graph-</a:t>
          </a:r>
          <a:r>
            <a:rPr lang="ko-KR" altLang="en-US" sz="1100" b="1">
              <a:solidFill>
                <a:srgbClr val="0B02BE"/>
              </a:solidFill>
              <a:latin typeface="+mn-ea"/>
              <a:ea typeface="+mn-ea"/>
            </a:rPr>
            <a:t>모양</a:t>
          </a:r>
          <a:r>
            <a:rPr lang="en-US" altLang="ko-KR" sz="1100" b="1">
              <a:solidFill>
                <a:srgbClr val="0B02BE"/>
              </a:solidFill>
              <a:latin typeface="+mn-ea"/>
              <a:ea typeface="+mn-ea"/>
            </a:rPr>
            <a:t>.vue</a:t>
          </a:r>
          <a:endParaRPr lang="ko-KR" altLang="en-US" sz="1100" b="1">
            <a:solidFill>
              <a:srgbClr val="0B02BE"/>
            </a:solidFill>
            <a:latin typeface="+mn-ea"/>
            <a:ea typeface="+mn-ea"/>
          </a:endParaRPr>
        </a:p>
      </xdr:txBody>
    </xdr:sp>
    <xdr:clientData/>
  </xdr:twoCellAnchor>
  <xdr:twoCellAnchor editAs="oneCell">
    <xdr:from>
      <xdr:col>13</xdr:col>
      <xdr:colOff>268942</xdr:colOff>
      <xdr:row>36</xdr:row>
      <xdr:rowOff>66676</xdr:rowOff>
    </xdr:from>
    <xdr:to>
      <xdr:col>26</xdr:col>
      <xdr:colOff>332254</xdr:colOff>
      <xdr:row>37</xdr:row>
      <xdr:rowOff>168089</xdr:rowOff>
    </xdr:to>
    <xdr:pic>
      <xdr:nvPicPr>
        <xdr:cNvPr id="45" name="그림 44">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b="95030"/>
        <a:stretch/>
      </xdr:blipFill>
      <xdr:spPr>
        <a:xfrm>
          <a:off x="10522324" y="7731500"/>
          <a:ext cx="8949577" cy="314324"/>
        </a:xfrm>
        <a:prstGeom prst="rect">
          <a:avLst/>
        </a:prstGeom>
      </xdr:spPr>
    </xdr:pic>
    <xdr:clientData/>
  </xdr:twoCellAnchor>
  <xdr:twoCellAnchor>
    <xdr:from>
      <xdr:col>20</xdr:col>
      <xdr:colOff>89649</xdr:colOff>
      <xdr:row>35</xdr:row>
      <xdr:rowOff>190500</xdr:rowOff>
    </xdr:from>
    <xdr:to>
      <xdr:col>23</xdr:col>
      <xdr:colOff>89648</xdr:colOff>
      <xdr:row>37</xdr:row>
      <xdr:rowOff>78443</xdr:rowOff>
    </xdr:to>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5127943" y="7642412"/>
          <a:ext cx="2050676"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5</xdr:col>
      <xdr:colOff>342901</xdr:colOff>
      <xdr:row>35</xdr:row>
      <xdr:rowOff>174812</xdr:rowOff>
    </xdr:from>
    <xdr:to>
      <xdr:col>8</xdr:col>
      <xdr:colOff>342901</xdr:colOff>
      <xdr:row>37</xdr:row>
      <xdr:rowOff>62755</xdr:rowOff>
    </xdr:to>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5127813" y="7626724"/>
          <a:ext cx="2050676"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2</xdr:col>
      <xdr:colOff>179295</xdr:colOff>
      <xdr:row>0</xdr:row>
      <xdr:rowOff>156883</xdr:rowOff>
    </xdr:from>
    <xdr:to>
      <xdr:col>9</xdr:col>
      <xdr:colOff>493059</xdr:colOff>
      <xdr:row>2</xdr:row>
      <xdr:rowOff>44824</xdr:rowOff>
    </xdr:to>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2913530" y="156883"/>
          <a:ext cx="5098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rgbClr val="FF0000"/>
              </a:solidFill>
              <a:latin typeface="+mn-ea"/>
              <a:ea typeface="+mn-ea"/>
            </a:rPr>
            <a:t>무엇이 이상한지 한눈에 볼 수 있도록 </a:t>
          </a:r>
          <a:r>
            <a:rPr lang="en-US" altLang="ko-KR" sz="1100" b="1">
              <a:solidFill>
                <a:srgbClr val="FF0000"/>
              </a:solidFill>
              <a:latin typeface="+mn-ea"/>
              <a:ea typeface="+mn-ea"/>
            </a:rPr>
            <a:t>...</a:t>
          </a:r>
          <a:r>
            <a:rPr lang="en-US" altLang="ko-KR" sz="1100" b="1" baseline="0">
              <a:solidFill>
                <a:srgbClr val="FF0000"/>
              </a:solidFill>
              <a:latin typeface="+mn-ea"/>
              <a:ea typeface="+mn-ea"/>
            </a:rPr>
            <a:t> </a:t>
          </a:r>
          <a:r>
            <a:rPr lang="ko-KR" altLang="en-US" sz="1100" b="1" baseline="0">
              <a:solidFill>
                <a:srgbClr val="FF0000"/>
              </a:solidFill>
              <a:latin typeface="+mn-ea"/>
              <a:ea typeface="+mn-ea"/>
            </a:rPr>
            <a:t>만들자</a:t>
          </a:r>
          <a:endParaRPr lang="ko-KR" altLang="en-US" sz="1100" b="1">
            <a:solidFill>
              <a:srgbClr val="FF0000"/>
            </a:solidFill>
            <a:latin typeface="+mn-ea"/>
            <a:ea typeface="+mn-ea"/>
          </a:endParaRPr>
        </a:p>
      </xdr:txBody>
    </xdr:sp>
    <xdr:clientData/>
  </xdr:twoCellAnchor>
  <xdr:twoCellAnchor>
    <xdr:from>
      <xdr:col>7</xdr:col>
      <xdr:colOff>2</xdr:colOff>
      <xdr:row>13</xdr:row>
      <xdr:rowOff>161924</xdr:rowOff>
    </xdr:from>
    <xdr:to>
      <xdr:col>12</xdr:col>
      <xdr:colOff>394610</xdr:colOff>
      <xdr:row>15</xdr:row>
      <xdr:rowOff>40821</xdr:rowOff>
    </xdr:to>
    <xdr:sp macro="" textlink="">
      <xdr:nvSpPr>
        <xdr:cNvPr id="41" name="TextBox 40">
          <a:extLst>
            <a:ext uri="{FF2B5EF4-FFF2-40B4-BE49-F238E27FC236}">
              <a16:creationId xmlns:a16="http://schemas.microsoft.com/office/drawing/2014/main" id="{4D439EEC-5195-462F-B549-7A20EF31DD32}"/>
            </a:ext>
          </a:extLst>
        </xdr:cNvPr>
        <xdr:cNvSpPr txBox="1"/>
      </xdr:nvSpPr>
      <xdr:spPr>
        <a:xfrm>
          <a:off x="5456466" y="2638424"/>
          <a:ext cx="3456215" cy="259897"/>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FF0000"/>
              </a:solidFill>
            </a:rPr>
            <a:t>Async</a:t>
          </a:r>
          <a:r>
            <a:rPr lang="en-US" sz="1100" b="1" baseline="0">
              <a:solidFill>
                <a:srgbClr val="FF0000"/>
              </a:solidFill>
            </a:rPr>
            <a:t> </a:t>
          </a:r>
          <a:r>
            <a:rPr lang="ko-KR" altLang="en-US" sz="1100" b="1" baseline="0">
              <a:solidFill>
                <a:srgbClr val="FF0000"/>
              </a:solidFill>
            </a:rPr>
            <a:t>처리 </a:t>
          </a:r>
          <a:r>
            <a:rPr lang="en-US" altLang="ko-KR" sz="1100" b="1" baseline="0">
              <a:solidFill>
                <a:srgbClr val="FF0000"/>
              </a:solidFill>
            </a:rPr>
            <a:t> - </a:t>
          </a:r>
          <a:r>
            <a:rPr lang="ko-KR" altLang="en-US" sz="1100" b="1" baseline="0">
              <a:solidFill>
                <a:srgbClr val="FF0000"/>
              </a:solidFill>
            </a:rPr>
            <a:t>분산비동기 처리 고려 </a:t>
          </a:r>
          <a:r>
            <a:rPr lang="en-US" altLang="ko-KR" sz="1100" b="1" baseline="0">
              <a:solidFill>
                <a:srgbClr val="FF0000"/>
              </a:solidFill>
            </a:rPr>
            <a:t>(Celery?)</a:t>
          </a:r>
          <a:endParaRPr lang="en-US" sz="1100" b="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2</xdr:row>
      <xdr:rowOff>45382</xdr:rowOff>
    </xdr:from>
    <xdr:to>
      <xdr:col>9</xdr:col>
      <xdr:colOff>321228</xdr:colOff>
      <xdr:row>18</xdr:row>
      <xdr:rowOff>34737</xdr:rowOff>
    </xdr:to>
    <xdr:pic>
      <xdr:nvPicPr>
        <xdr:cNvPr id="2" name="그림 1">
          <a:extLst>
            <a:ext uri="{FF2B5EF4-FFF2-40B4-BE49-F238E27FC236}">
              <a16:creationId xmlns:a16="http://schemas.microsoft.com/office/drawing/2014/main" id="{F64F4168-27D0-4E78-A53B-355208820030}"/>
            </a:ext>
          </a:extLst>
        </xdr:cNvPr>
        <xdr:cNvPicPr>
          <a:picLocks noChangeAspect="1"/>
        </xdr:cNvPicPr>
      </xdr:nvPicPr>
      <xdr:blipFill>
        <a:blip xmlns:r="http://schemas.openxmlformats.org/officeDocument/2006/relationships" r:embed="rId1"/>
        <a:stretch>
          <a:fillRect/>
        </a:stretch>
      </xdr:blipFill>
      <xdr:spPr>
        <a:xfrm>
          <a:off x="619125" y="426382"/>
          <a:ext cx="5188503" cy="3305736"/>
        </a:xfrm>
        <a:prstGeom prst="rect">
          <a:avLst/>
        </a:prstGeom>
      </xdr:spPr>
    </xdr:pic>
    <xdr:clientData/>
  </xdr:twoCellAnchor>
  <xdr:twoCellAnchor>
    <xdr:from>
      <xdr:col>1</xdr:col>
      <xdr:colOff>22973</xdr:colOff>
      <xdr:row>0</xdr:row>
      <xdr:rowOff>76200</xdr:rowOff>
    </xdr:from>
    <xdr:to>
      <xdr:col>4</xdr:col>
      <xdr:colOff>523875</xdr:colOff>
      <xdr:row>1</xdr:row>
      <xdr:rowOff>167528</xdr:rowOff>
    </xdr:to>
    <xdr:sp macro="" textlink="">
      <xdr:nvSpPr>
        <xdr:cNvPr id="3" name="TextBox 2">
          <a:extLst>
            <a:ext uri="{FF2B5EF4-FFF2-40B4-BE49-F238E27FC236}">
              <a16:creationId xmlns:a16="http://schemas.microsoft.com/office/drawing/2014/main" id="{923323E0-482F-4924-814C-396224F7CD8F}"/>
            </a:ext>
          </a:extLst>
        </xdr:cNvPr>
        <xdr:cNvSpPr txBox="1"/>
      </xdr:nvSpPr>
      <xdr:spPr>
        <a:xfrm>
          <a:off x="632573" y="76200"/>
          <a:ext cx="2329702" cy="28182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Init.vue</a:t>
          </a:r>
          <a:endParaRPr lang="ko-KR" altLang="en-US" sz="1100" b="1">
            <a:solidFill>
              <a:srgbClr val="0B02BE"/>
            </a:solidFill>
            <a:latin typeface="+mn-ea"/>
            <a:ea typeface="+mn-ea"/>
            <a:cs typeface="+mn-cs"/>
          </a:endParaRPr>
        </a:p>
      </xdr:txBody>
    </xdr:sp>
    <xdr:clientData/>
  </xdr:twoCellAnchor>
  <xdr:twoCellAnchor editAs="oneCell">
    <xdr:from>
      <xdr:col>1</xdr:col>
      <xdr:colOff>9525</xdr:colOff>
      <xdr:row>19</xdr:row>
      <xdr:rowOff>95250</xdr:rowOff>
    </xdr:from>
    <xdr:to>
      <xdr:col>9</xdr:col>
      <xdr:colOff>390525</xdr:colOff>
      <xdr:row>30</xdr:row>
      <xdr:rowOff>17369</xdr:rowOff>
    </xdr:to>
    <xdr:pic>
      <xdr:nvPicPr>
        <xdr:cNvPr id="4" name="그림 3">
          <a:extLst>
            <a:ext uri="{FF2B5EF4-FFF2-40B4-BE49-F238E27FC236}">
              <a16:creationId xmlns:a16="http://schemas.microsoft.com/office/drawing/2014/main" id="{DA519542-7A6E-4B5B-9A96-787727AA820D}"/>
            </a:ext>
          </a:extLst>
        </xdr:cNvPr>
        <xdr:cNvPicPr>
          <a:picLocks noChangeAspect="1"/>
        </xdr:cNvPicPr>
      </xdr:nvPicPr>
      <xdr:blipFill>
        <a:blip xmlns:r="http://schemas.openxmlformats.org/officeDocument/2006/relationships" r:embed="rId2"/>
        <a:stretch>
          <a:fillRect/>
        </a:stretch>
      </xdr:blipFill>
      <xdr:spPr>
        <a:xfrm>
          <a:off x="619125" y="3905250"/>
          <a:ext cx="5257800" cy="2028825"/>
        </a:xfrm>
        <a:prstGeom prst="rect">
          <a:avLst/>
        </a:prstGeom>
      </xdr:spPr>
    </xdr:pic>
    <xdr:clientData/>
  </xdr:twoCellAnchor>
  <xdr:twoCellAnchor>
    <xdr:from>
      <xdr:col>14</xdr:col>
      <xdr:colOff>1371601</xdr:colOff>
      <xdr:row>14</xdr:row>
      <xdr:rowOff>142875</xdr:rowOff>
    </xdr:from>
    <xdr:to>
      <xdr:col>16</xdr:col>
      <xdr:colOff>361951</xdr:colOff>
      <xdr:row>16</xdr:row>
      <xdr:rowOff>66675</xdr:rowOff>
    </xdr:to>
    <xdr:sp macro="" textlink="">
      <xdr:nvSpPr>
        <xdr:cNvPr id="5" name="TextBox 4">
          <a:extLst>
            <a:ext uri="{FF2B5EF4-FFF2-40B4-BE49-F238E27FC236}">
              <a16:creationId xmlns:a16="http://schemas.microsoft.com/office/drawing/2014/main" id="{EFA95299-4DE8-400B-AC3D-B88F5C9E1697}"/>
            </a:ext>
          </a:extLst>
        </xdr:cNvPr>
        <xdr:cNvSpPr txBox="1"/>
      </xdr:nvSpPr>
      <xdr:spPr>
        <a:xfrm>
          <a:off x="10801351" y="306705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14</xdr:col>
      <xdr:colOff>1362076</xdr:colOff>
      <xdr:row>21</xdr:row>
      <xdr:rowOff>86846</xdr:rowOff>
    </xdr:from>
    <xdr:to>
      <xdr:col>16</xdr:col>
      <xdr:colOff>352426</xdr:colOff>
      <xdr:row>23</xdr:row>
      <xdr:rowOff>10646</xdr:rowOff>
    </xdr:to>
    <xdr:sp macro="" textlink="">
      <xdr:nvSpPr>
        <xdr:cNvPr id="6" name="TextBox 5">
          <a:extLst>
            <a:ext uri="{FF2B5EF4-FFF2-40B4-BE49-F238E27FC236}">
              <a16:creationId xmlns:a16="http://schemas.microsoft.com/office/drawing/2014/main" id="{CD822984-38A5-46E3-A48B-326FF26417C8}"/>
            </a:ext>
          </a:extLst>
        </xdr:cNvPr>
        <xdr:cNvSpPr txBox="1"/>
      </xdr:nvSpPr>
      <xdr:spPr>
        <a:xfrm>
          <a:off x="11368929" y="4356287"/>
          <a:ext cx="1713379" cy="316006"/>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10</xdr:col>
      <xdr:colOff>552451</xdr:colOff>
      <xdr:row>23</xdr:row>
      <xdr:rowOff>133350</xdr:rowOff>
    </xdr:from>
    <xdr:to>
      <xdr:col>13</xdr:col>
      <xdr:colOff>47625</xdr:colOff>
      <xdr:row>25</xdr:row>
      <xdr:rowOff>57150</xdr:rowOff>
    </xdr:to>
    <xdr:sp macro="" textlink="">
      <xdr:nvSpPr>
        <xdr:cNvPr id="7" name="TextBox 6">
          <a:extLst>
            <a:ext uri="{FF2B5EF4-FFF2-40B4-BE49-F238E27FC236}">
              <a16:creationId xmlns:a16="http://schemas.microsoft.com/office/drawing/2014/main" id="{8F80E5D0-5333-4463-A18C-F3283D3915B9}"/>
            </a:ext>
          </a:extLst>
        </xdr:cNvPr>
        <xdr:cNvSpPr txBox="1"/>
      </xdr:nvSpPr>
      <xdr:spPr>
        <a:xfrm>
          <a:off x="6038851" y="4772025"/>
          <a:ext cx="2200274"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project</a:t>
          </a:r>
          <a:r>
            <a:rPr lang="en-US" sz="1100" baseline="0">
              <a:solidFill>
                <a:srgbClr val="FF0000"/>
              </a:solidFill>
            </a:rPr>
            <a:t> id </a:t>
          </a:r>
          <a:r>
            <a:rPr lang="ko-KR" altLang="en-US" sz="1100" baseline="0">
              <a:solidFill>
                <a:srgbClr val="FF0000"/>
              </a:solidFill>
            </a:rPr>
            <a:t>필요</a:t>
          </a:r>
          <a:endParaRPr lang="en-US" sz="1100">
            <a:solidFill>
              <a:srgbClr val="FF0000"/>
            </a:solidFill>
          </a:endParaRPr>
        </a:p>
      </xdr:txBody>
    </xdr:sp>
    <xdr:clientData/>
  </xdr:twoCellAnchor>
  <xdr:twoCellAnchor>
    <xdr:from>
      <xdr:col>13</xdr:col>
      <xdr:colOff>47625</xdr:colOff>
      <xdr:row>15</xdr:row>
      <xdr:rowOff>104775</xdr:rowOff>
    </xdr:from>
    <xdr:to>
      <xdr:col>14</xdr:col>
      <xdr:colOff>1371601</xdr:colOff>
      <xdr:row>24</xdr:row>
      <xdr:rowOff>95250</xdr:rowOff>
    </xdr:to>
    <xdr:cxnSp macro="">
      <xdr:nvCxnSpPr>
        <xdr:cNvPr id="9" name="직선 화살표 연결선 8">
          <a:extLst>
            <a:ext uri="{FF2B5EF4-FFF2-40B4-BE49-F238E27FC236}">
              <a16:creationId xmlns:a16="http://schemas.microsoft.com/office/drawing/2014/main" id="{ECAA7CDC-A18E-4A55-813A-32047BC694F0}"/>
            </a:ext>
          </a:extLst>
        </xdr:cNvPr>
        <xdr:cNvCxnSpPr>
          <a:stCxn id="5" idx="1"/>
          <a:endCxn id="7" idx="3"/>
        </xdr:cNvCxnSpPr>
      </xdr:nvCxnSpPr>
      <xdr:spPr>
        <a:xfrm flipH="1">
          <a:off x="8239125" y="3219450"/>
          <a:ext cx="2562226" cy="17049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47625</xdr:colOff>
      <xdr:row>22</xdr:row>
      <xdr:rowOff>54349</xdr:rowOff>
    </xdr:from>
    <xdr:to>
      <xdr:col>14</xdr:col>
      <xdr:colOff>1362076</xdr:colOff>
      <xdr:row>24</xdr:row>
      <xdr:rowOff>95250</xdr:rowOff>
    </xdr:to>
    <xdr:cxnSp macro="">
      <xdr:nvCxnSpPr>
        <xdr:cNvPr id="10" name="직선 화살표 연결선 9">
          <a:extLst>
            <a:ext uri="{FF2B5EF4-FFF2-40B4-BE49-F238E27FC236}">
              <a16:creationId xmlns:a16="http://schemas.microsoft.com/office/drawing/2014/main" id="{40DAC3AC-A6AE-4B4F-9215-CA5E30BDB0E2}"/>
            </a:ext>
          </a:extLst>
        </xdr:cNvPr>
        <xdr:cNvCxnSpPr>
          <a:stCxn id="6" idx="1"/>
          <a:endCxn id="7" idx="3"/>
        </xdr:cNvCxnSpPr>
      </xdr:nvCxnSpPr>
      <xdr:spPr>
        <a:xfrm flipH="1">
          <a:off x="8810625" y="4514290"/>
          <a:ext cx="2558304" cy="43310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380998</xdr:colOff>
      <xdr:row>21</xdr:row>
      <xdr:rowOff>142876</xdr:rowOff>
    </xdr:from>
    <xdr:to>
      <xdr:col>20</xdr:col>
      <xdr:colOff>537882</xdr:colOff>
      <xdr:row>26</xdr:row>
      <xdr:rowOff>89648</xdr:rowOff>
    </xdr:to>
    <xdr:sp macro="" textlink="">
      <xdr:nvSpPr>
        <xdr:cNvPr id="13" name="TextBox 12">
          <a:extLst>
            <a:ext uri="{FF2B5EF4-FFF2-40B4-BE49-F238E27FC236}">
              <a16:creationId xmlns:a16="http://schemas.microsoft.com/office/drawing/2014/main" id="{05D0547B-7D63-46EA-BA92-D97051E9290E}"/>
            </a:ext>
          </a:extLst>
        </xdr:cNvPr>
        <xdr:cNvSpPr txBox="1"/>
      </xdr:nvSpPr>
      <xdr:spPr>
        <a:xfrm>
          <a:off x="13110880" y="4412317"/>
          <a:ext cx="2577355" cy="910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logmaster</a:t>
          </a:r>
          <a:r>
            <a:rPr lang="en-US" sz="1100" baseline="0">
              <a:solidFill>
                <a:srgbClr val="FF0000"/>
              </a:solidFill>
            </a:rPr>
            <a:t>  </a:t>
          </a:r>
          <a:r>
            <a:rPr lang="ko-KR" altLang="en-US" sz="1100" baseline="0">
              <a:solidFill>
                <a:srgbClr val="FF0000"/>
              </a:solidFill>
            </a:rPr>
            <a:t>존재 </a:t>
          </a:r>
          <a:r>
            <a:rPr lang="en-US" altLang="ko-KR" sz="1100" baseline="0">
              <a:solidFill>
                <a:srgbClr val="FF0000"/>
              </a:solidFill>
            </a:rPr>
            <a:t>: project id </a:t>
          </a:r>
          <a:r>
            <a:rPr lang="ko-KR" altLang="en-US" sz="1100" baseline="0">
              <a:solidFill>
                <a:srgbClr val="FF0000"/>
              </a:solidFill>
            </a:rPr>
            <a:t>가져오기</a:t>
          </a:r>
          <a:endParaRPr lang="en-US" altLang="ko-KR" sz="1100" baseline="0">
            <a:solidFill>
              <a:srgbClr val="FF0000"/>
            </a:solidFill>
          </a:endParaRPr>
        </a:p>
        <a:p>
          <a:r>
            <a:rPr lang="en-US" sz="1100">
              <a:solidFill>
                <a:srgbClr val="FF0000"/>
              </a:solidFill>
            </a:rPr>
            <a:t>                                (Row</a:t>
          </a:r>
          <a:r>
            <a:rPr lang="en-US" sz="1100" baseline="0">
              <a:solidFill>
                <a:srgbClr val="FF0000"/>
              </a:solidFill>
            </a:rPr>
            <a:t> </a:t>
          </a:r>
          <a:r>
            <a:rPr lang="ko-KR" altLang="en-US" sz="1100" baseline="0">
              <a:solidFill>
                <a:srgbClr val="FF0000"/>
              </a:solidFill>
            </a:rPr>
            <a:t>선택시</a:t>
          </a:r>
          <a:r>
            <a:rPr lang="en-US" altLang="ko-KR" sz="1100" baseline="0">
              <a:solidFill>
                <a:srgbClr val="FF0000"/>
              </a:solidFill>
            </a:rPr>
            <a:t>)</a:t>
          </a:r>
        </a:p>
        <a:p>
          <a:r>
            <a:rPr lang="ko-KR" altLang="en-US" sz="1100" baseline="0">
              <a:solidFill>
                <a:srgbClr val="FF0000"/>
              </a:solidFill>
            </a:rPr>
            <a:t>파일 추가여부 확인</a:t>
          </a:r>
          <a:r>
            <a:rPr lang="en-US" altLang="ko-KR" sz="1100" baseline="0">
              <a:solidFill>
                <a:srgbClr val="FF0000"/>
              </a:solidFill>
            </a:rPr>
            <a:t>(Y:Step2, N:Step3)</a:t>
          </a:r>
          <a:r>
            <a:rPr lang="en-US" sz="1100">
              <a:solidFill>
                <a:srgbClr val="FF0000"/>
              </a:solidFill>
            </a:rPr>
            <a:t> </a:t>
          </a:r>
        </a:p>
      </xdr:txBody>
    </xdr:sp>
    <xdr:clientData/>
  </xdr:twoCellAnchor>
  <xdr:twoCellAnchor>
    <xdr:from>
      <xdr:col>16</xdr:col>
      <xdr:colOff>390523</xdr:colOff>
      <xdr:row>30</xdr:row>
      <xdr:rowOff>152400</xdr:rowOff>
    </xdr:from>
    <xdr:to>
      <xdr:col>20</xdr:col>
      <xdr:colOff>537881</xdr:colOff>
      <xdr:row>32</xdr:row>
      <xdr:rowOff>66675</xdr:rowOff>
    </xdr:to>
    <xdr:sp macro="" textlink="">
      <xdr:nvSpPr>
        <xdr:cNvPr id="14" name="TextBox 13">
          <a:extLst>
            <a:ext uri="{FF2B5EF4-FFF2-40B4-BE49-F238E27FC236}">
              <a16:creationId xmlns:a16="http://schemas.microsoft.com/office/drawing/2014/main" id="{572F11A4-3390-44D0-932E-C0330210EF6B}"/>
            </a:ext>
          </a:extLst>
        </xdr:cNvPr>
        <xdr:cNvSpPr txBox="1"/>
      </xdr:nvSpPr>
      <xdr:spPr>
        <a:xfrm>
          <a:off x="13120405" y="6147547"/>
          <a:ext cx="2567829" cy="3064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logfile</a:t>
          </a:r>
          <a:r>
            <a:rPr lang="en-US" sz="1100" baseline="0">
              <a:solidFill>
                <a:srgbClr val="FF0000"/>
              </a:solidFill>
            </a:rPr>
            <a:t> </a:t>
          </a:r>
          <a:r>
            <a:rPr lang="ko-KR" altLang="en-US" sz="1100" baseline="0">
              <a:solidFill>
                <a:srgbClr val="FF0000"/>
              </a:solidFill>
            </a:rPr>
            <a:t>생성</a:t>
          </a:r>
          <a:endParaRPr lang="en-US" sz="1100">
            <a:solidFill>
              <a:srgbClr val="FF0000"/>
            </a:solidFill>
          </a:endParaRPr>
        </a:p>
      </xdr:txBody>
    </xdr:sp>
    <xdr:clientData/>
  </xdr:twoCellAnchor>
  <xdr:twoCellAnchor>
    <xdr:from>
      <xdr:col>16</xdr:col>
      <xdr:colOff>380999</xdr:colOff>
      <xdr:row>39</xdr:row>
      <xdr:rowOff>152399</xdr:rowOff>
    </xdr:from>
    <xdr:to>
      <xdr:col>20</xdr:col>
      <xdr:colOff>593912</xdr:colOff>
      <xdr:row>44</xdr:row>
      <xdr:rowOff>78440</xdr:rowOff>
    </xdr:to>
    <xdr:sp macro="" textlink="">
      <xdr:nvSpPr>
        <xdr:cNvPr id="15" name="TextBox 14">
          <a:extLst>
            <a:ext uri="{FF2B5EF4-FFF2-40B4-BE49-F238E27FC236}">
              <a16:creationId xmlns:a16="http://schemas.microsoft.com/office/drawing/2014/main" id="{0E62E934-0751-4700-B537-9BDAEA21C99A}"/>
            </a:ext>
          </a:extLst>
        </xdr:cNvPr>
        <xdr:cNvSpPr txBox="1"/>
      </xdr:nvSpPr>
      <xdr:spPr>
        <a:xfrm>
          <a:off x="13110881" y="7873252"/>
          <a:ext cx="2633384" cy="889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New</a:t>
          </a:r>
          <a:r>
            <a:rPr lang="en-US" sz="1100" baseline="0">
              <a:solidFill>
                <a:srgbClr val="FF0000"/>
              </a:solidFill>
            </a:rPr>
            <a:t> : </a:t>
          </a:r>
          <a:r>
            <a:rPr lang="en-US" sz="1100">
              <a:solidFill>
                <a:srgbClr val="FF0000"/>
              </a:solidFill>
            </a:rPr>
            <a:t>logdetail</a:t>
          </a:r>
          <a:r>
            <a:rPr lang="en-US" sz="1100" baseline="0">
              <a:solidFill>
                <a:srgbClr val="FF0000"/>
              </a:solidFill>
            </a:rPr>
            <a:t> </a:t>
          </a:r>
          <a:r>
            <a:rPr lang="ko-KR" altLang="en-US" sz="1100" baseline="0">
              <a:solidFill>
                <a:srgbClr val="FF0000"/>
              </a:solidFill>
            </a:rPr>
            <a:t>생성</a:t>
          </a:r>
          <a:endParaRPr lang="en-US" altLang="ko-KR" sz="1100" baseline="0">
            <a:solidFill>
              <a:srgbClr val="FF0000"/>
            </a:solidFill>
          </a:endParaRPr>
        </a:p>
        <a:p>
          <a:r>
            <a:rPr lang="en-US" sz="1100" baseline="0">
              <a:solidFill>
                <a:srgbClr val="FF0000"/>
              </a:solidFill>
            </a:rPr>
            <a:t>Exist : </a:t>
          </a:r>
          <a:r>
            <a:rPr lang="ko-KR" altLang="en-US" sz="1100" baseline="0">
              <a:solidFill>
                <a:srgbClr val="FF0000"/>
              </a:solidFill>
            </a:rPr>
            <a:t>이미 생성된 </a:t>
          </a:r>
          <a:r>
            <a:rPr lang="en-US" altLang="ko-KR" sz="1100" baseline="0">
              <a:solidFill>
                <a:srgbClr val="FF0000"/>
              </a:solidFill>
            </a:rPr>
            <a:t>1</a:t>
          </a:r>
          <a:r>
            <a:rPr lang="ko-KR" altLang="en-US" sz="1100" baseline="0">
              <a:solidFill>
                <a:srgbClr val="FF0000"/>
              </a:solidFill>
            </a:rPr>
            <a:t>건 </a:t>
          </a:r>
          <a:r>
            <a:rPr lang="en-US" altLang="ko-KR" sz="1100" baseline="0">
              <a:solidFill>
                <a:srgbClr val="FF0000"/>
              </a:solidFill>
            </a:rPr>
            <a:t>Detail </a:t>
          </a:r>
          <a:r>
            <a:rPr lang="ko-KR" altLang="en-US" sz="1100" baseline="0">
              <a:solidFill>
                <a:srgbClr val="FF0000"/>
              </a:solidFill>
            </a:rPr>
            <a:t>정보 가져오기</a:t>
          </a:r>
          <a:endParaRPr lang="en-US" sz="1100">
            <a:solidFill>
              <a:srgbClr val="FF0000"/>
            </a:solidFill>
          </a:endParaRPr>
        </a:p>
      </xdr:txBody>
    </xdr:sp>
    <xdr:clientData/>
  </xdr:twoCellAnchor>
  <xdr:twoCellAnchor>
    <xdr:from>
      <xdr:col>16</xdr:col>
      <xdr:colOff>380998</xdr:colOff>
      <xdr:row>14</xdr:row>
      <xdr:rowOff>152400</xdr:rowOff>
    </xdr:from>
    <xdr:to>
      <xdr:col>20</xdr:col>
      <xdr:colOff>504264</xdr:colOff>
      <xdr:row>16</xdr:row>
      <xdr:rowOff>66675</xdr:rowOff>
    </xdr:to>
    <xdr:sp macro="" textlink="">
      <xdr:nvSpPr>
        <xdr:cNvPr id="16" name="TextBox 15">
          <a:extLst>
            <a:ext uri="{FF2B5EF4-FFF2-40B4-BE49-F238E27FC236}">
              <a16:creationId xmlns:a16="http://schemas.microsoft.com/office/drawing/2014/main" id="{DF75973D-1005-47D8-9505-B965BC6FA0E8}"/>
            </a:ext>
          </a:extLst>
        </xdr:cNvPr>
        <xdr:cNvSpPr txBox="1"/>
      </xdr:nvSpPr>
      <xdr:spPr>
        <a:xfrm>
          <a:off x="13110880" y="3088341"/>
          <a:ext cx="2543737"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logmaster</a:t>
          </a:r>
          <a:r>
            <a:rPr lang="en-US" sz="1100" baseline="0">
              <a:solidFill>
                <a:srgbClr val="FF0000"/>
              </a:solidFill>
            </a:rPr>
            <a:t> </a:t>
          </a:r>
          <a:r>
            <a:rPr lang="ko-KR" altLang="en-US" sz="1100" baseline="0">
              <a:solidFill>
                <a:srgbClr val="FF0000"/>
              </a:solidFill>
            </a:rPr>
            <a:t>생성</a:t>
          </a:r>
          <a:endParaRPr lang="en-US" sz="1100">
            <a:solidFill>
              <a:srgbClr val="FF0000"/>
            </a:solidFill>
          </a:endParaRPr>
        </a:p>
      </xdr:txBody>
    </xdr:sp>
    <xdr:clientData/>
  </xdr:twoCellAnchor>
  <xdr:twoCellAnchor>
    <xdr:from>
      <xdr:col>14</xdr:col>
      <xdr:colOff>1362076</xdr:colOff>
      <xdr:row>30</xdr:row>
      <xdr:rowOff>161925</xdr:rowOff>
    </xdr:from>
    <xdr:to>
      <xdr:col>16</xdr:col>
      <xdr:colOff>352426</xdr:colOff>
      <xdr:row>32</xdr:row>
      <xdr:rowOff>85725</xdr:rowOff>
    </xdr:to>
    <xdr:sp macro="" textlink="">
      <xdr:nvSpPr>
        <xdr:cNvPr id="21" name="TextBox 20">
          <a:extLst>
            <a:ext uri="{FF2B5EF4-FFF2-40B4-BE49-F238E27FC236}">
              <a16:creationId xmlns:a16="http://schemas.microsoft.com/office/drawing/2014/main" id="{B77DF554-59AF-4BE4-8ED9-6C846D3F7C27}"/>
            </a:ext>
          </a:extLst>
        </xdr:cNvPr>
        <xdr:cNvSpPr txBox="1"/>
      </xdr:nvSpPr>
      <xdr:spPr>
        <a:xfrm>
          <a:off x="10791826" y="613410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14</xdr:col>
      <xdr:colOff>1362076</xdr:colOff>
      <xdr:row>39</xdr:row>
      <xdr:rowOff>161925</xdr:rowOff>
    </xdr:from>
    <xdr:to>
      <xdr:col>16</xdr:col>
      <xdr:colOff>352426</xdr:colOff>
      <xdr:row>41</xdr:row>
      <xdr:rowOff>85725</xdr:rowOff>
    </xdr:to>
    <xdr:sp macro="" textlink="">
      <xdr:nvSpPr>
        <xdr:cNvPr id="22" name="TextBox 21">
          <a:extLst>
            <a:ext uri="{FF2B5EF4-FFF2-40B4-BE49-F238E27FC236}">
              <a16:creationId xmlns:a16="http://schemas.microsoft.com/office/drawing/2014/main" id="{29C49E49-408F-4CEB-B941-6C7C75AAD017}"/>
            </a:ext>
          </a:extLst>
        </xdr:cNvPr>
        <xdr:cNvSpPr txBox="1"/>
      </xdr:nvSpPr>
      <xdr:spPr>
        <a:xfrm>
          <a:off x="10791826" y="784860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10</xdr:col>
      <xdr:colOff>530040</xdr:colOff>
      <xdr:row>31</xdr:row>
      <xdr:rowOff>112059</xdr:rowOff>
    </xdr:from>
    <xdr:to>
      <xdr:col>13</xdr:col>
      <xdr:colOff>25214</xdr:colOff>
      <xdr:row>33</xdr:row>
      <xdr:rowOff>180414</xdr:rowOff>
    </xdr:to>
    <xdr:sp macro="" textlink="">
      <xdr:nvSpPr>
        <xdr:cNvPr id="18" name="TextBox 17">
          <a:extLst>
            <a:ext uri="{FF2B5EF4-FFF2-40B4-BE49-F238E27FC236}">
              <a16:creationId xmlns:a16="http://schemas.microsoft.com/office/drawing/2014/main" id="{80A4B39B-EA68-48B6-8835-97AC30238B32}"/>
            </a:ext>
          </a:extLst>
        </xdr:cNvPr>
        <xdr:cNvSpPr txBox="1"/>
      </xdr:nvSpPr>
      <xdr:spPr>
        <a:xfrm>
          <a:off x="6581216" y="6297706"/>
          <a:ext cx="2206998" cy="460561"/>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aseline="0">
              <a:solidFill>
                <a:srgbClr val="FF0000"/>
              </a:solidFill>
            </a:rPr>
            <a:t>logfile id </a:t>
          </a:r>
          <a:r>
            <a:rPr lang="ko-KR" altLang="en-US" sz="1100" baseline="0">
              <a:solidFill>
                <a:srgbClr val="FF0000"/>
              </a:solidFill>
            </a:rPr>
            <a:t>필요</a:t>
          </a:r>
          <a:endParaRPr lang="en-US" sz="1100">
            <a:solidFill>
              <a:srgbClr val="FF0000"/>
            </a:solidFill>
          </a:endParaRPr>
        </a:p>
      </xdr:txBody>
    </xdr:sp>
    <xdr:clientData/>
  </xdr:twoCellAnchor>
  <xdr:twoCellAnchor>
    <xdr:from>
      <xdr:col>15</xdr:col>
      <xdr:colOff>0</xdr:colOff>
      <xdr:row>8</xdr:row>
      <xdr:rowOff>145674</xdr:rowOff>
    </xdr:from>
    <xdr:to>
      <xdr:col>16</xdr:col>
      <xdr:colOff>424703</xdr:colOff>
      <xdr:row>10</xdr:row>
      <xdr:rowOff>69474</xdr:rowOff>
    </xdr:to>
    <xdr:sp macro="" textlink="">
      <xdr:nvSpPr>
        <xdr:cNvPr id="20" name="TextBox 19">
          <a:extLst>
            <a:ext uri="{FF2B5EF4-FFF2-40B4-BE49-F238E27FC236}">
              <a16:creationId xmlns:a16="http://schemas.microsoft.com/office/drawing/2014/main" id="{FD032AD7-02F8-4AB9-8ACF-9680E575B3F3}"/>
            </a:ext>
          </a:extLst>
        </xdr:cNvPr>
        <xdr:cNvSpPr txBox="1"/>
      </xdr:nvSpPr>
      <xdr:spPr>
        <a:xfrm>
          <a:off x="10836088" y="1927409"/>
          <a:ext cx="171338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581025</xdr:colOff>
      <xdr:row>1</xdr:row>
      <xdr:rowOff>19050</xdr:rowOff>
    </xdr:from>
    <xdr:to>
      <xdr:col>13</xdr:col>
      <xdr:colOff>63311</xdr:colOff>
      <xdr:row>11</xdr:row>
      <xdr:rowOff>134471</xdr:rowOff>
    </xdr:to>
    <xdr:pic>
      <xdr:nvPicPr>
        <xdr:cNvPr id="2" name="그림 1">
          <a:extLst>
            <a:ext uri="{FF2B5EF4-FFF2-40B4-BE49-F238E27FC236}">
              <a16:creationId xmlns:a16="http://schemas.microsoft.com/office/drawing/2014/main" id="{7334F9E2-B014-4FE3-8C04-E434EBADAB73}"/>
            </a:ext>
          </a:extLst>
        </xdr:cNvPr>
        <xdr:cNvPicPr>
          <a:picLocks noChangeAspect="1"/>
        </xdr:cNvPicPr>
      </xdr:nvPicPr>
      <xdr:blipFill rotWithShape="1">
        <a:blip xmlns:r="http://schemas.openxmlformats.org/officeDocument/2006/relationships" r:embed="rId1"/>
        <a:srcRect b="64303"/>
        <a:stretch/>
      </xdr:blipFill>
      <xdr:spPr>
        <a:xfrm>
          <a:off x="581025" y="209550"/>
          <a:ext cx="7808257" cy="2020421"/>
        </a:xfrm>
        <a:prstGeom prst="rect">
          <a:avLst/>
        </a:prstGeom>
      </xdr:spPr>
    </xdr:pic>
    <xdr:clientData/>
  </xdr:twoCellAnchor>
  <xdr:twoCellAnchor>
    <xdr:from>
      <xdr:col>12</xdr:col>
      <xdr:colOff>342900</xdr:colOff>
      <xdr:row>1</xdr:row>
      <xdr:rowOff>1</xdr:rowOff>
    </xdr:from>
    <xdr:to>
      <xdr:col>15</xdr:col>
      <xdr:colOff>114300</xdr:colOff>
      <xdr:row>2</xdr:row>
      <xdr:rowOff>114301</xdr:rowOff>
    </xdr:to>
    <xdr:sp macro="" textlink="">
      <xdr:nvSpPr>
        <xdr:cNvPr id="3" name="TextBox 2">
          <a:extLst>
            <a:ext uri="{FF2B5EF4-FFF2-40B4-BE49-F238E27FC236}">
              <a16:creationId xmlns:a16="http://schemas.microsoft.com/office/drawing/2014/main" id="{D241F159-D063-405C-9EFD-0843CDA08769}"/>
            </a:ext>
          </a:extLst>
        </xdr:cNvPr>
        <xdr:cNvSpPr txBox="1"/>
      </xdr:nvSpPr>
      <xdr:spPr>
        <a:xfrm>
          <a:off x="7658100" y="190501"/>
          <a:ext cx="16002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altLang="ko-KR" sz="1100">
              <a:solidFill>
                <a:srgbClr val="FF0000"/>
              </a:solidFill>
            </a:rPr>
            <a:t>Authorization</a:t>
          </a:r>
          <a:endParaRPr lang="en-US" sz="1100">
            <a:solidFill>
              <a:srgbClr val="FF0000"/>
            </a:solidFill>
          </a:endParaRPr>
        </a:p>
      </xdr:txBody>
    </xdr:sp>
    <xdr:clientData/>
  </xdr:twoCellAnchor>
  <xdr:twoCellAnchor>
    <xdr:from>
      <xdr:col>1</xdr:col>
      <xdr:colOff>533398</xdr:colOff>
      <xdr:row>3</xdr:row>
      <xdr:rowOff>152401</xdr:rowOff>
    </xdr:from>
    <xdr:to>
      <xdr:col>8</xdr:col>
      <xdr:colOff>201705</xdr:colOff>
      <xdr:row>5</xdr:row>
      <xdr:rowOff>76201</xdr:rowOff>
    </xdr:to>
    <xdr:sp macro="" textlink="">
      <xdr:nvSpPr>
        <xdr:cNvPr id="5" name="TextBox 4">
          <a:extLst>
            <a:ext uri="{FF2B5EF4-FFF2-40B4-BE49-F238E27FC236}">
              <a16:creationId xmlns:a16="http://schemas.microsoft.com/office/drawing/2014/main" id="{71A5A803-A0E3-4DDA-8369-87CE6535D8AB}"/>
            </a:ext>
          </a:extLst>
        </xdr:cNvPr>
        <xdr:cNvSpPr txBox="1"/>
      </xdr:nvSpPr>
      <xdr:spPr>
        <a:xfrm>
          <a:off x="1138516" y="723901"/>
          <a:ext cx="3825689"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Log</a:t>
          </a:r>
          <a:r>
            <a:rPr lang="en-US" sz="1100" baseline="0">
              <a:solidFill>
                <a:srgbClr val="FF0000"/>
              </a:solidFill>
            </a:rPr>
            <a:t> Details - </a:t>
          </a:r>
          <a:r>
            <a:rPr lang="ko-KR" altLang="en-US" sz="1100" baseline="0">
              <a:solidFill>
                <a:srgbClr val="FF0000"/>
              </a:solidFill>
            </a:rPr>
            <a:t>로그 분석 프로젝트명</a:t>
          </a:r>
          <a:endParaRPr lang="en-US" sz="1100">
            <a:solidFill>
              <a:srgbClr val="FF0000"/>
            </a:solidFill>
          </a:endParaRPr>
        </a:p>
      </xdr:txBody>
    </xdr:sp>
    <xdr:clientData/>
  </xdr:twoCellAnchor>
  <xdr:twoCellAnchor editAs="oneCell">
    <xdr:from>
      <xdr:col>5</xdr:col>
      <xdr:colOff>285750</xdr:colOff>
      <xdr:row>6</xdr:row>
      <xdr:rowOff>142875</xdr:rowOff>
    </xdr:from>
    <xdr:to>
      <xdr:col>7</xdr:col>
      <xdr:colOff>523125</xdr:colOff>
      <xdr:row>8</xdr:row>
      <xdr:rowOff>57113</xdr:rowOff>
    </xdr:to>
    <xdr:pic>
      <xdr:nvPicPr>
        <xdr:cNvPr id="6" name="그림 5">
          <a:extLst>
            <a:ext uri="{FF2B5EF4-FFF2-40B4-BE49-F238E27FC236}">
              <a16:creationId xmlns:a16="http://schemas.microsoft.com/office/drawing/2014/main" id="{85F7F97E-3646-4D6A-9DBC-98A17F03CAA6}"/>
            </a:ext>
          </a:extLst>
        </xdr:cNvPr>
        <xdr:cNvPicPr>
          <a:picLocks noChangeAspect="1"/>
        </xdr:cNvPicPr>
      </xdr:nvPicPr>
      <xdr:blipFill>
        <a:blip xmlns:r="http://schemas.openxmlformats.org/officeDocument/2006/relationships" r:embed="rId2"/>
        <a:stretch>
          <a:fillRect/>
        </a:stretch>
      </xdr:blipFill>
      <xdr:spPr>
        <a:xfrm>
          <a:off x="3333750" y="1285875"/>
          <a:ext cx="1523810" cy="295238"/>
        </a:xfrm>
        <a:prstGeom prst="rect">
          <a:avLst/>
        </a:prstGeom>
      </xdr:spPr>
    </xdr:pic>
    <xdr:clientData/>
  </xdr:twoCellAnchor>
  <xdr:twoCellAnchor editAs="oneCell">
    <xdr:from>
      <xdr:col>3</xdr:col>
      <xdr:colOff>523875</xdr:colOff>
      <xdr:row>6</xdr:row>
      <xdr:rowOff>142874</xdr:rowOff>
    </xdr:from>
    <xdr:to>
      <xdr:col>7</xdr:col>
      <xdr:colOff>532840</xdr:colOff>
      <xdr:row>8</xdr:row>
      <xdr:rowOff>47588</xdr:rowOff>
    </xdr:to>
    <xdr:pic>
      <xdr:nvPicPr>
        <xdr:cNvPr id="8" name="그림 7">
          <a:extLst>
            <a:ext uri="{FF2B5EF4-FFF2-40B4-BE49-F238E27FC236}">
              <a16:creationId xmlns:a16="http://schemas.microsoft.com/office/drawing/2014/main" id="{97BCCD28-D629-4ABB-9EE8-D00970BAA9D2}"/>
            </a:ext>
          </a:extLst>
        </xdr:cNvPr>
        <xdr:cNvPicPr>
          <a:picLocks noChangeAspect="1"/>
        </xdr:cNvPicPr>
      </xdr:nvPicPr>
      <xdr:blipFill>
        <a:blip xmlns:r="http://schemas.openxmlformats.org/officeDocument/2006/relationships" r:embed="rId3"/>
        <a:stretch>
          <a:fillRect/>
        </a:stretch>
      </xdr:blipFill>
      <xdr:spPr>
        <a:xfrm>
          <a:off x="2352675" y="1285874"/>
          <a:ext cx="2514600" cy="285714"/>
        </a:xfrm>
        <a:prstGeom prst="rect">
          <a:avLst/>
        </a:prstGeom>
      </xdr:spPr>
    </xdr:pic>
    <xdr:clientData/>
  </xdr:twoCellAnchor>
  <xdr:twoCellAnchor>
    <xdr:from>
      <xdr:col>1</xdr:col>
      <xdr:colOff>295275</xdr:colOff>
      <xdr:row>6</xdr:row>
      <xdr:rowOff>123826</xdr:rowOff>
    </xdr:from>
    <xdr:to>
      <xdr:col>3</xdr:col>
      <xdr:colOff>533399</xdr:colOff>
      <xdr:row>8</xdr:row>
      <xdr:rowOff>47626</xdr:rowOff>
    </xdr:to>
    <xdr:sp macro="" textlink="">
      <xdr:nvSpPr>
        <xdr:cNvPr id="9" name="TextBox 8">
          <a:extLst>
            <a:ext uri="{FF2B5EF4-FFF2-40B4-BE49-F238E27FC236}">
              <a16:creationId xmlns:a16="http://schemas.microsoft.com/office/drawing/2014/main" id="{43050E9B-1AF8-46DD-BF2F-28E26EC92809}"/>
            </a:ext>
          </a:extLst>
        </xdr:cNvPr>
        <xdr:cNvSpPr txBox="1"/>
      </xdr:nvSpPr>
      <xdr:spPr>
        <a:xfrm>
          <a:off x="904875" y="1266826"/>
          <a:ext cx="1457324"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Date/Time</a:t>
          </a:r>
        </a:p>
      </xdr:txBody>
    </xdr:sp>
    <xdr:clientData/>
  </xdr:twoCellAnchor>
  <xdr:twoCellAnchor editAs="oneCell">
    <xdr:from>
      <xdr:col>2</xdr:col>
      <xdr:colOff>561975</xdr:colOff>
      <xdr:row>8</xdr:row>
      <xdr:rowOff>66675</xdr:rowOff>
    </xdr:from>
    <xdr:to>
      <xdr:col>5</xdr:col>
      <xdr:colOff>485774</xdr:colOff>
      <xdr:row>9</xdr:row>
      <xdr:rowOff>123794</xdr:rowOff>
    </xdr:to>
    <xdr:pic>
      <xdr:nvPicPr>
        <xdr:cNvPr id="11" name="그림 10">
          <a:extLst>
            <a:ext uri="{FF2B5EF4-FFF2-40B4-BE49-F238E27FC236}">
              <a16:creationId xmlns:a16="http://schemas.microsoft.com/office/drawing/2014/main" id="{72279F63-373D-4BC9-9A49-6B28A503E0C2}"/>
            </a:ext>
          </a:extLst>
        </xdr:cNvPr>
        <xdr:cNvPicPr>
          <a:picLocks noChangeAspect="1"/>
        </xdr:cNvPicPr>
      </xdr:nvPicPr>
      <xdr:blipFill>
        <a:blip xmlns:r="http://schemas.openxmlformats.org/officeDocument/2006/relationships" r:embed="rId4"/>
        <a:stretch>
          <a:fillRect/>
        </a:stretch>
      </xdr:blipFill>
      <xdr:spPr>
        <a:xfrm>
          <a:off x="1781175" y="1590675"/>
          <a:ext cx="1752599" cy="247619"/>
        </a:xfrm>
        <a:prstGeom prst="rect">
          <a:avLst/>
        </a:prstGeom>
      </xdr:spPr>
    </xdr:pic>
    <xdr:clientData/>
  </xdr:twoCellAnchor>
  <xdr:twoCellAnchor editAs="oneCell">
    <xdr:from>
      <xdr:col>5</xdr:col>
      <xdr:colOff>495299</xdr:colOff>
      <xdr:row>8</xdr:row>
      <xdr:rowOff>57150</xdr:rowOff>
    </xdr:from>
    <xdr:to>
      <xdr:col>7</xdr:col>
      <xdr:colOff>690282</xdr:colOff>
      <xdr:row>9</xdr:row>
      <xdr:rowOff>161889</xdr:rowOff>
    </xdr:to>
    <xdr:pic>
      <xdr:nvPicPr>
        <xdr:cNvPr id="12" name="그림 11">
          <a:extLst>
            <a:ext uri="{FF2B5EF4-FFF2-40B4-BE49-F238E27FC236}">
              <a16:creationId xmlns:a16="http://schemas.microsoft.com/office/drawing/2014/main" id="{095735E3-DC52-4927-8515-62865DF56653}"/>
            </a:ext>
          </a:extLst>
        </xdr:cNvPr>
        <xdr:cNvPicPr>
          <a:picLocks noChangeAspect="1"/>
        </xdr:cNvPicPr>
      </xdr:nvPicPr>
      <xdr:blipFill rotWithShape="1">
        <a:blip xmlns:r="http://schemas.openxmlformats.org/officeDocument/2006/relationships" r:embed="rId5"/>
        <a:srcRect l="44328" t="-3333"/>
        <a:stretch/>
      </xdr:blipFill>
      <xdr:spPr>
        <a:xfrm>
          <a:off x="3543299" y="1581150"/>
          <a:ext cx="1485901" cy="295239"/>
        </a:xfrm>
        <a:prstGeom prst="rect">
          <a:avLst/>
        </a:prstGeom>
      </xdr:spPr>
    </xdr:pic>
    <xdr:clientData/>
  </xdr:twoCellAnchor>
  <xdr:twoCellAnchor editAs="oneCell">
    <xdr:from>
      <xdr:col>3</xdr:col>
      <xdr:colOff>537882</xdr:colOff>
      <xdr:row>9</xdr:row>
      <xdr:rowOff>123265</xdr:rowOff>
    </xdr:from>
    <xdr:to>
      <xdr:col>8</xdr:col>
      <xdr:colOff>0</xdr:colOff>
      <xdr:row>11</xdr:row>
      <xdr:rowOff>44824</xdr:rowOff>
    </xdr:to>
    <xdr:pic>
      <xdr:nvPicPr>
        <xdr:cNvPr id="13" name="그림 12">
          <a:extLst>
            <a:ext uri="{FF2B5EF4-FFF2-40B4-BE49-F238E27FC236}">
              <a16:creationId xmlns:a16="http://schemas.microsoft.com/office/drawing/2014/main" id="{C10ADE21-D993-4490-A2F6-27C79721144E}"/>
            </a:ext>
          </a:extLst>
        </xdr:cNvPr>
        <xdr:cNvPicPr>
          <a:picLocks noChangeAspect="1"/>
        </xdr:cNvPicPr>
      </xdr:nvPicPr>
      <xdr:blipFill>
        <a:blip xmlns:r="http://schemas.openxmlformats.org/officeDocument/2006/relationships" r:embed="rId6"/>
        <a:stretch>
          <a:fillRect/>
        </a:stretch>
      </xdr:blipFill>
      <xdr:spPr>
        <a:xfrm>
          <a:off x="2353235" y="1837765"/>
          <a:ext cx="2655794" cy="302559"/>
        </a:xfrm>
        <a:prstGeom prst="rect">
          <a:avLst/>
        </a:prstGeom>
      </xdr:spPr>
    </xdr:pic>
    <xdr:clientData/>
  </xdr:twoCellAnchor>
  <xdr:twoCellAnchor>
    <xdr:from>
      <xdr:col>1</xdr:col>
      <xdr:colOff>295275</xdr:colOff>
      <xdr:row>9</xdr:row>
      <xdr:rowOff>177054</xdr:rowOff>
    </xdr:from>
    <xdr:to>
      <xdr:col>3</xdr:col>
      <xdr:colOff>537882</xdr:colOff>
      <xdr:row>11</xdr:row>
      <xdr:rowOff>100854</xdr:rowOff>
    </xdr:to>
    <xdr:sp macro="" textlink="">
      <xdr:nvSpPr>
        <xdr:cNvPr id="14" name="TextBox 13">
          <a:extLst>
            <a:ext uri="{FF2B5EF4-FFF2-40B4-BE49-F238E27FC236}">
              <a16:creationId xmlns:a16="http://schemas.microsoft.com/office/drawing/2014/main" id="{467A5836-E388-42B2-ACCB-81344CB2C2A9}"/>
            </a:ext>
          </a:extLst>
        </xdr:cNvPr>
        <xdr:cNvSpPr txBox="1"/>
      </xdr:nvSpPr>
      <xdr:spPr>
        <a:xfrm>
          <a:off x="900393" y="1891554"/>
          <a:ext cx="1452842"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Timetaken</a:t>
          </a:r>
        </a:p>
      </xdr:txBody>
    </xdr:sp>
    <xdr:clientData/>
  </xdr:twoCellAnchor>
  <xdr:twoCellAnchor>
    <xdr:from>
      <xdr:col>1</xdr:col>
      <xdr:colOff>295275</xdr:colOff>
      <xdr:row>8</xdr:row>
      <xdr:rowOff>76201</xdr:rowOff>
    </xdr:from>
    <xdr:to>
      <xdr:col>3</xdr:col>
      <xdr:colOff>549088</xdr:colOff>
      <xdr:row>10</xdr:row>
      <xdr:rowOff>1</xdr:rowOff>
    </xdr:to>
    <xdr:sp macro="" textlink="">
      <xdr:nvSpPr>
        <xdr:cNvPr id="10" name="TextBox 9">
          <a:extLst>
            <a:ext uri="{FF2B5EF4-FFF2-40B4-BE49-F238E27FC236}">
              <a16:creationId xmlns:a16="http://schemas.microsoft.com/office/drawing/2014/main" id="{AC08C6E8-50A7-4C0D-9D0F-EDF40D6817A2}"/>
            </a:ext>
          </a:extLst>
        </xdr:cNvPr>
        <xdr:cNvSpPr txBox="1"/>
      </xdr:nvSpPr>
      <xdr:spPr>
        <a:xfrm>
          <a:off x="900393" y="1600201"/>
          <a:ext cx="1464048"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Condition</a:t>
          </a:r>
        </a:p>
      </xdr:txBody>
    </xdr:sp>
    <xdr:clientData/>
  </xdr:twoCellAnchor>
  <xdr:twoCellAnchor editAs="oneCell">
    <xdr:from>
      <xdr:col>8</xdr:col>
      <xdr:colOff>67236</xdr:colOff>
      <xdr:row>6</xdr:row>
      <xdr:rowOff>134469</xdr:rowOff>
    </xdr:from>
    <xdr:to>
      <xdr:col>10</xdr:col>
      <xdr:colOff>413266</xdr:colOff>
      <xdr:row>8</xdr:row>
      <xdr:rowOff>97440</xdr:rowOff>
    </xdr:to>
    <xdr:pic>
      <xdr:nvPicPr>
        <xdr:cNvPr id="15" name="그림 14">
          <a:extLst>
            <a:ext uri="{FF2B5EF4-FFF2-40B4-BE49-F238E27FC236}">
              <a16:creationId xmlns:a16="http://schemas.microsoft.com/office/drawing/2014/main" id="{8AA66CD9-9337-46D3-B44E-D5FAB3170DF4}"/>
            </a:ext>
          </a:extLst>
        </xdr:cNvPr>
        <xdr:cNvPicPr>
          <a:picLocks noChangeAspect="1"/>
        </xdr:cNvPicPr>
      </xdr:nvPicPr>
      <xdr:blipFill>
        <a:blip xmlns:r="http://schemas.openxmlformats.org/officeDocument/2006/relationships" r:embed="rId6"/>
        <a:stretch>
          <a:fillRect/>
        </a:stretch>
      </xdr:blipFill>
      <xdr:spPr>
        <a:xfrm>
          <a:off x="4908177" y="1277469"/>
          <a:ext cx="1847619" cy="343971"/>
        </a:xfrm>
        <a:prstGeom prst="rect">
          <a:avLst/>
        </a:prstGeom>
      </xdr:spPr>
    </xdr:pic>
    <xdr:clientData/>
  </xdr:twoCellAnchor>
  <xdr:twoCellAnchor editAs="oneCell">
    <xdr:from>
      <xdr:col>8</xdr:col>
      <xdr:colOff>392207</xdr:colOff>
      <xdr:row>8</xdr:row>
      <xdr:rowOff>22412</xdr:rowOff>
    </xdr:from>
    <xdr:to>
      <xdr:col>10</xdr:col>
      <xdr:colOff>233475</xdr:colOff>
      <xdr:row>9</xdr:row>
      <xdr:rowOff>155722</xdr:rowOff>
    </xdr:to>
    <xdr:pic>
      <xdr:nvPicPr>
        <xdr:cNvPr id="17" name="그림 16">
          <a:extLst>
            <a:ext uri="{FF2B5EF4-FFF2-40B4-BE49-F238E27FC236}">
              <a16:creationId xmlns:a16="http://schemas.microsoft.com/office/drawing/2014/main" id="{CBBC8585-E63E-4A73-9A20-D6840EB3F56A}"/>
            </a:ext>
          </a:extLst>
        </xdr:cNvPr>
        <xdr:cNvPicPr>
          <a:picLocks noChangeAspect="1"/>
        </xdr:cNvPicPr>
      </xdr:nvPicPr>
      <xdr:blipFill>
        <a:blip xmlns:r="http://schemas.openxmlformats.org/officeDocument/2006/relationships" r:embed="rId7"/>
        <a:stretch>
          <a:fillRect/>
        </a:stretch>
      </xdr:blipFill>
      <xdr:spPr>
        <a:xfrm>
          <a:off x="5233148" y="1546412"/>
          <a:ext cx="1342857" cy="323810"/>
        </a:xfrm>
        <a:prstGeom prst="rect">
          <a:avLst/>
        </a:prstGeom>
      </xdr:spPr>
    </xdr:pic>
    <xdr:clientData/>
  </xdr:twoCellAnchor>
  <xdr:twoCellAnchor editAs="oneCell">
    <xdr:from>
      <xdr:col>8</xdr:col>
      <xdr:colOff>437029</xdr:colOff>
      <xdr:row>9</xdr:row>
      <xdr:rowOff>78441</xdr:rowOff>
    </xdr:from>
    <xdr:to>
      <xdr:col>10</xdr:col>
      <xdr:colOff>497345</xdr:colOff>
      <xdr:row>11</xdr:row>
      <xdr:rowOff>78393</xdr:rowOff>
    </xdr:to>
    <xdr:pic>
      <xdr:nvPicPr>
        <xdr:cNvPr id="18" name="그림 17">
          <a:extLst>
            <a:ext uri="{FF2B5EF4-FFF2-40B4-BE49-F238E27FC236}">
              <a16:creationId xmlns:a16="http://schemas.microsoft.com/office/drawing/2014/main" id="{6312EC99-801F-44A7-871D-54AC423EFF5C}"/>
            </a:ext>
          </a:extLst>
        </xdr:cNvPr>
        <xdr:cNvPicPr>
          <a:picLocks noChangeAspect="1"/>
        </xdr:cNvPicPr>
      </xdr:nvPicPr>
      <xdr:blipFill>
        <a:blip xmlns:r="http://schemas.openxmlformats.org/officeDocument/2006/relationships" r:embed="rId8"/>
        <a:stretch>
          <a:fillRect/>
        </a:stretch>
      </xdr:blipFill>
      <xdr:spPr>
        <a:xfrm>
          <a:off x="5277970" y="1792941"/>
          <a:ext cx="1561905" cy="380952"/>
        </a:xfrm>
        <a:prstGeom prst="rect">
          <a:avLst/>
        </a:prstGeom>
      </xdr:spPr>
    </xdr:pic>
    <xdr:clientData/>
  </xdr:twoCellAnchor>
  <xdr:twoCellAnchor>
    <xdr:from>
      <xdr:col>8</xdr:col>
      <xdr:colOff>534519</xdr:colOff>
      <xdr:row>9</xdr:row>
      <xdr:rowOff>52108</xdr:rowOff>
    </xdr:from>
    <xdr:to>
      <xdr:col>12</xdr:col>
      <xdr:colOff>549088</xdr:colOff>
      <xdr:row>10</xdr:row>
      <xdr:rowOff>166408</xdr:rowOff>
    </xdr:to>
    <xdr:sp macro="" textlink="">
      <xdr:nvSpPr>
        <xdr:cNvPr id="4" name="TextBox 3">
          <a:extLst>
            <a:ext uri="{FF2B5EF4-FFF2-40B4-BE49-F238E27FC236}">
              <a16:creationId xmlns:a16="http://schemas.microsoft.com/office/drawing/2014/main" id="{8E380403-7C33-4E5F-903D-27965774D270}"/>
            </a:ext>
          </a:extLst>
        </xdr:cNvPr>
        <xdr:cNvSpPr txBox="1"/>
      </xdr:nvSpPr>
      <xdr:spPr>
        <a:xfrm>
          <a:off x="5375460" y="1766608"/>
          <a:ext cx="243504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Initialize</a:t>
          </a:r>
          <a:r>
            <a:rPr lang="en-US" sz="1100" baseline="0">
              <a:solidFill>
                <a:srgbClr val="FF0000"/>
              </a:solidFill>
            </a:rPr>
            <a:t> / </a:t>
          </a:r>
          <a:r>
            <a:rPr lang="en-US" sz="1100">
              <a:solidFill>
                <a:srgbClr val="FF0000"/>
              </a:solidFill>
            </a:rPr>
            <a:t>Search</a:t>
          </a:r>
        </a:p>
      </xdr:txBody>
    </xdr:sp>
    <xdr:clientData/>
  </xdr:twoCellAnchor>
  <xdr:twoCellAnchor>
    <xdr:from>
      <xdr:col>6</xdr:col>
      <xdr:colOff>371476</xdr:colOff>
      <xdr:row>16</xdr:row>
      <xdr:rowOff>90208</xdr:rowOff>
    </xdr:from>
    <xdr:to>
      <xdr:col>13</xdr:col>
      <xdr:colOff>120464</xdr:colOff>
      <xdr:row>18</xdr:row>
      <xdr:rowOff>14008</xdr:rowOff>
    </xdr:to>
    <xdr:sp macro="" textlink="">
      <xdr:nvSpPr>
        <xdr:cNvPr id="19" name="TextBox 18">
          <a:extLst>
            <a:ext uri="{FF2B5EF4-FFF2-40B4-BE49-F238E27FC236}">
              <a16:creationId xmlns:a16="http://schemas.microsoft.com/office/drawing/2014/main" id="{70FD3AE4-E03D-49E8-819B-7E988C4080E3}"/>
            </a:ext>
          </a:extLst>
        </xdr:cNvPr>
        <xdr:cNvSpPr txBox="1"/>
      </xdr:nvSpPr>
      <xdr:spPr>
        <a:xfrm>
          <a:off x="3990976" y="3138208"/>
          <a:ext cx="4492438"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TODO</a:t>
          </a:r>
          <a:r>
            <a:rPr lang="en-US" sz="1100" baseline="0">
              <a:solidFill>
                <a:srgbClr val="FF0000"/>
              </a:solidFill>
            </a:rPr>
            <a:t> : </a:t>
          </a:r>
          <a:r>
            <a:rPr lang="en-US" sz="1100">
              <a:solidFill>
                <a:srgbClr val="FF0000"/>
              </a:solidFill>
            </a:rPr>
            <a:t>Row </a:t>
          </a:r>
          <a:r>
            <a:rPr lang="ko-KR" altLang="en-US" sz="1100">
              <a:solidFill>
                <a:srgbClr val="FF0000"/>
              </a:solidFill>
            </a:rPr>
            <a:t>클릭시 상세페이지 로딩필요</a:t>
          </a:r>
          <a:r>
            <a:rPr lang="en-US" altLang="ko-KR" sz="1100">
              <a:solidFill>
                <a:srgbClr val="FF0000"/>
              </a:solidFill>
            </a:rPr>
            <a:t>(</a:t>
          </a:r>
          <a:r>
            <a:rPr lang="ko-KR" altLang="en-US" sz="1100">
              <a:solidFill>
                <a:srgbClr val="FF0000"/>
              </a:solidFill>
            </a:rPr>
            <a:t>로그 전체 확인</a:t>
          </a:r>
          <a:r>
            <a:rPr lang="en-US" altLang="ko-KR" sz="1100">
              <a:solidFill>
                <a:srgbClr val="FF0000"/>
              </a:solidFill>
            </a:rPr>
            <a:t>)</a:t>
          </a:r>
          <a:endParaRPr lang="en-US" sz="11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30</xdr:row>
      <xdr:rowOff>161926</xdr:rowOff>
    </xdr:from>
    <xdr:to>
      <xdr:col>6</xdr:col>
      <xdr:colOff>295275</xdr:colOff>
      <xdr:row>45</xdr:row>
      <xdr:rowOff>174968</xdr:rowOff>
    </xdr:to>
    <xdr:pic>
      <xdr:nvPicPr>
        <xdr:cNvPr id="2" name="그림 1">
          <a:extLst>
            <a:ext uri="{FF2B5EF4-FFF2-40B4-BE49-F238E27FC236}">
              <a16:creationId xmlns:a16="http://schemas.microsoft.com/office/drawing/2014/main" id="{01054D1D-C2D6-4DDA-A073-3F507B3EAECA}"/>
            </a:ext>
          </a:extLst>
        </xdr:cNvPr>
        <xdr:cNvPicPr>
          <a:picLocks noChangeAspect="1"/>
        </xdr:cNvPicPr>
      </xdr:nvPicPr>
      <xdr:blipFill>
        <a:blip xmlns:r="http://schemas.openxmlformats.org/officeDocument/2006/relationships" r:embed="rId1"/>
        <a:stretch>
          <a:fillRect/>
        </a:stretch>
      </xdr:blipFill>
      <xdr:spPr>
        <a:xfrm>
          <a:off x="0" y="5876926"/>
          <a:ext cx="3952875" cy="2870542"/>
        </a:xfrm>
        <a:prstGeom prst="rect">
          <a:avLst/>
        </a:prstGeom>
      </xdr:spPr>
    </xdr:pic>
    <xdr:clientData/>
  </xdr:twoCellAnchor>
  <xdr:twoCellAnchor editAs="oneCell">
    <xdr:from>
      <xdr:col>0</xdr:col>
      <xdr:colOff>0</xdr:colOff>
      <xdr:row>0</xdr:row>
      <xdr:rowOff>0</xdr:rowOff>
    </xdr:from>
    <xdr:to>
      <xdr:col>13</xdr:col>
      <xdr:colOff>0</xdr:colOff>
      <xdr:row>29</xdr:row>
      <xdr:rowOff>169347</xdr:rowOff>
    </xdr:to>
    <xdr:pic>
      <xdr:nvPicPr>
        <xdr:cNvPr id="3" name="그림 2">
          <a:extLst>
            <a:ext uri="{FF2B5EF4-FFF2-40B4-BE49-F238E27FC236}">
              <a16:creationId xmlns:a16="http://schemas.microsoft.com/office/drawing/2014/main" id="{5DF3FEF6-5BE3-4F0F-A4D2-89BDC310E1F8}"/>
            </a:ext>
          </a:extLst>
        </xdr:cNvPr>
        <xdr:cNvPicPr>
          <a:picLocks noChangeAspect="1"/>
        </xdr:cNvPicPr>
      </xdr:nvPicPr>
      <xdr:blipFill>
        <a:blip xmlns:r="http://schemas.openxmlformats.org/officeDocument/2006/relationships" r:embed="rId2"/>
        <a:stretch>
          <a:fillRect/>
        </a:stretch>
      </xdr:blipFill>
      <xdr:spPr>
        <a:xfrm>
          <a:off x="0" y="0"/>
          <a:ext cx="7924800" cy="5693847"/>
        </a:xfrm>
        <a:prstGeom prst="rect">
          <a:avLst/>
        </a:prstGeom>
      </xdr:spPr>
    </xdr:pic>
    <xdr:clientData/>
  </xdr:twoCellAnchor>
  <xdr:twoCellAnchor>
    <xdr:from>
      <xdr:col>1</xdr:col>
      <xdr:colOff>666749</xdr:colOff>
      <xdr:row>31</xdr:row>
      <xdr:rowOff>133350</xdr:rowOff>
    </xdr:from>
    <xdr:to>
      <xdr:col>5</xdr:col>
      <xdr:colOff>638175</xdr:colOff>
      <xdr:row>33</xdr:row>
      <xdr:rowOff>28015</xdr:rowOff>
    </xdr:to>
    <xdr:sp macro="" textlink="">
      <xdr:nvSpPr>
        <xdr:cNvPr id="4" name="TextBox 3">
          <a:extLst>
            <a:ext uri="{FF2B5EF4-FFF2-40B4-BE49-F238E27FC236}">
              <a16:creationId xmlns:a16="http://schemas.microsoft.com/office/drawing/2014/main" id="{BA20C4E1-E5ED-4227-9B38-6E2D5CB7A59D}"/>
            </a:ext>
          </a:extLst>
        </xdr:cNvPr>
        <xdr:cNvSpPr txBox="1"/>
      </xdr:nvSpPr>
      <xdr:spPr>
        <a:xfrm>
          <a:off x="1219199" y="6038850"/>
          <a:ext cx="2438401" cy="2756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UpdateLogformatForm.vue - Modal</a:t>
          </a:r>
          <a:endParaRPr lang="ko-KR" altLang="en-US" sz="1100" b="1">
            <a:solidFill>
              <a:srgbClr val="0B02BE"/>
            </a:solidFill>
            <a:latin typeface="+mn-ea"/>
            <a:ea typeface="+mn-ea"/>
          </a:endParaRPr>
        </a:p>
      </xdr:txBody>
    </xdr:sp>
    <xdr:clientData/>
  </xdr:twoCellAnchor>
  <xdr:twoCellAnchor>
    <xdr:from>
      <xdr:col>0</xdr:col>
      <xdr:colOff>19050</xdr:colOff>
      <xdr:row>1</xdr:row>
      <xdr:rowOff>142875</xdr:rowOff>
    </xdr:from>
    <xdr:to>
      <xdr:col>3</xdr:col>
      <xdr:colOff>12326</xdr:colOff>
      <xdr:row>3</xdr:row>
      <xdr:rowOff>37540</xdr:rowOff>
    </xdr:to>
    <xdr:sp macro="" textlink="">
      <xdr:nvSpPr>
        <xdr:cNvPr id="5" name="TextBox 4">
          <a:extLst>
            <a:ext uri="{FF2B5EF4-FFF2-40B4-BE49-F238E27FC236}">
              <a16:creationId xmlns:a16="http://schemas.microsoft.com/office/drawing/2014/main" id="{E281889D-D0EA-4E65-B3D3-328C0C7A6551}"/>
            </a:ext>
          </a:extLst>
        </xdr:cNvPr>
        <xdr:cNvSpPr txBox="1"/>
      </xdr:nvSpPr>
      <xdr:spPr>
        <a:xfrm>
          <a:off x="19050" y="333375"/>
          <a:ext cx="1822076" cy="2756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Logformat.vue</a:t>
          </a:r>
          <a:endParaRPr lang="ko-KR" altLang="en-US" sz="1100" b="1">
            <a:solidFill>
              <a:srgbClr val="0B02BE"/>
            </a:solidFill>
            <a:latin typeface="+mn-ea"/>
            <a:ea typeface="+mn-ea"/>
          </a:endParaRPr>
        </a:p>
      </xdr:txBody>
    </xdr:sp>
    <xdr:clientData/>
  </xdr:twoCellAnchor>
  <xdr:twoCellAnchor>
    <xdr:from>
      <xdr:col>0</xdr:col>
      <xdr:colOff>409575</xdr:colOff>
      <xdr:row>6</xdr:row>
      <xdr:rowOff>200025</xdr:rowOff>
    </xdr:from>
    <xdr:to>
      <xdr:col>3</xdr:col>
      <xdr:colOff>402851</xdr:colOff>
      <xdr:row>8</xdr:row>
      <xdr:rowOff>94690</xdr:rowOff>
    </xdr:to>
    <xdr:sp macro="" textlink="">
      <xdr:nvSpPr>
        <xdr:cNvPr id="6" name="TextBox 5">
          <a:extLst>
            <a:ext uri="{FF2B5EF4-FFF2-40B4-BE49-F238E27FC236}">
              <a16:creationId xmlns:a16="http://schemas.microsoft.com/office/drawing/2014/main" id="{7E457CD8-2B15-44E2-BD22-FEB64DC638E1}"/>
            </a:ext>
          </a:extLst>
        </xdr:cNvPr>
        <xdr:cNvSpPr txBox="1"/>
      </xdr:nvSpPr>
      <xdr:spPr>
        <a:xfrm>
          <a:off x="409575" y="1333500"/>
          <a:ext cx="1822076" cy="28519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LogformatSearch.vue</a:t>
          </a:r>
          <a:endParaRPr lang="ko-KR" altLang="en-US" sz="1100" b="1">
            <a:solidFill>
              <a:srgbClr val="0B02BE"/>
            </a:solidFill>
            <a:latin typeface="+mn-ea"/>
            <a:ea typeface="+mn-ea"/>
          </a:endParaRPr>
        </a:p>
      </xdr:txBody>
    </xdr:sp>
    <xdr:clientData/>
  </xdr:twoCellAnchor>
  <xdr:twoCellAnchor>
    <xdr:from>
      <xdr:col>2</xdr:col>
      <xdr:colOff>66675</xdr:colOff>
      <xdr:row>11</xdr:row>
      <xdr:rowOff>190500</xdr:rowOff>
    </xdr:from>
    <xdr:to>
      <xdr:col>5</xdr:col>
      <xdr:colOff>59951</xdr:colOff>
      <xdr:row>13</xdr:row>
      <xdr:rowOff>85165</xdr:rowOff>
    </xdr:to>
    <xdr:sp macro="" textlink="">
      <xdr:nvSpPr>
        <xdr:cNvPr id="7" name="TextBox 6">
          <a:extLst>
            <a:ext uri="{FF2B5EF4-FFF2-40B4-BE49-F238E27FC236}">
              <a16:creationId xmlns:a16="http://schemas.microsoft.com/office/drawing/2014/main" id="{4EC72CA1-20A2-481C-9CCB-43FB42DBE6D3}"/>
            </a:ext>
          </a:extLst>
        </xdr:cNvPr>
        <xdr:cNvSpPr txBox="1"/>
      </xdr:nvSpPr>
      <xdr:spPr>
        <a:xfrm>
          <a:off x="1285875" y="2286000"/>
          <a:ext cx="1822076" cy="2756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LogformatResult.vue</a:t>
          </a:r>
          <a:endParaRPr lang="ko-KR" altLang="en-US" sz="1100" b="1">
            <a:solidFill>
              <a:srgbClr val="0B02BE"/>
            </a:solidFill>
            <a:latin typeface="+mn-ea"/>
            <a:ea typeface="+mn-ea"/>
          </a:endParaRPr>
        </a:p>
      </xdr:txBody>
    </xdr:sp>
    <xdr:clientData/>
  </xdr:twoCellAnchor>
  <xdr:twoCellAnchor>
    <xdr:from>
      <xdr:col>2</xdr:col>
      <xdr:colOff>76200</xdr:colOff>
      <xdr:row>20</xdr:row>
      <xdr:rowOff>76200</xdr:rowOff>
    </xdr:from>
    <xdr:to>
      <xdr:col>5</xdr:col>
      <xdr:colOff>69476</xdr:colOff>
      <xdr:row>21</xdr:row>
      <xdr:rowOff>180415</xdr:rowOff>
    </xdr:to>
    <xdr:sp macro="" textlink="">
      <xdr:nvSpPr>
        <xdr:cNvPr id="8" name="TextBox 7">
          <a:extLst>
            <a:ext uri="{FF2B5EF4-FFF2-40B4-BE49-F238E27FC236}">
              <a16:creationId xmlns:a16="http://schemas.microsoft.com/office/drawing/2014/main" id="{DBB61E2A-231D-470C-A02A-11E189F93813}"/>
            </a:ext>
          </a:extLst>
        </xdr:cNvPr>
        <xdr:cNvSpPr txBox="1"/>
      </xdr:nvSpPr>
      <xdr:spPr>
        <a:xfrm>
          <a:off x="1295400" y="3886200"/>
          <a:ext cx="1822076" cy="29471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LogformatDetail.vue</a:t>
          </a:r>
          <a:endParaRPr lang="ko-KR" altLang="en-US" sz="1100" b="1">
            <a:solidFill>
              <a:srgbClr val="0B02BE"/>
            </a:solidFill>
            <a:latin typeface="+mn-ea"/>
            <a:ea typeface="+mn-ea"/>
          </a:endParaRPr>
        </a:p>
      </xdr:txBody>
    </xdr:sp>
    <xdr:clientData/>
  </xdr:twoCellAnchor>
  <xdr:twoCellAnchor editAs="oneCell">
    <xdr:from>
      <xdr:col>6</xdr:col>
      <xdr:colOff>485776</xdr:colOff>
      <xdr:row>30</xdr:row>
      <xdr:rowOff>200026</xdr:rowOff>
    </xdr:from>
    <xdr:to>
      <xdr:col>12</xdr:col>
      <xdr:colOff>607954</xdr:colOff>
      <xdr:row>45</xdr:row>
      <xdr:rowOff>142876</xdr:rowOff>
    </xdr:to>
    <xdr:pic>
      <xdr:nvPicPr>
        <xdr:cNvPr id="9" name="그림 8">
          <a:extLst>
            <a:ext uri="{FF2B5EF4-FFF2-40B4-BE49-F238E27FC236}">
              <a16:creationId xmlns:a16="http://schemas.microsoft.com/office/drawing/2014/main" id="{2720755E-0849-49A5-95F9-2F0959443B50}"/>
            </a:ext>
          </a:extLst>
        </xdr:cNvPr>
        <xdr:cNvPicPr>
          <a:picLocks noChangeAspect="1"/>
        </xdr:cNvPicPr>
      </xdr:nvPicPr>
      <xdr:blipFill>
        <a:blip xmlns:r="http://schemas.openxmlformats.org/officeDocument/2006/relationships" r:embed="rId3"/>
        <a:stretch>
          <a:fillRect/>
        </a:stretch>
      </xdr:blipFill>
      <xdr:spPr>
        <a:xfrm>
          <a:off x="4143376" y="5905501"/>
          <a:ext cx="3779778" cy="2809875"/>
        </a:xfrm>
        <a:prstGeom prst="rect">
          <a:avLst/>
        </a:prstGeom>
      </xdr:spPr>
    </xdr:pic>
    <xdr:clientData/>
  </xdr:twoCellAnchor>
  <xdr:twoCellAnchor>
    <xdr:from>
      <xdr:col>9</xdr:col>
      <xdr:colOff>28574</xdr:colOff>
      <xdr:row>31</xdr:row>
      <xdr:rowOff>123825</xdr:rowOff>
    </xdr:from>
    <xdr:to>
      <xdr:col>12</xdr:col>
      <xdr:colOff>552450</xdr:colOff>
      <xdr:row>33</xdr:row>
      <xdr:rowOff>18490</xdr:rowOff>
    </xdr:to>
    <xdr:sp macro="" textlink="">
      <xdr:nvSpPr>
        <xdr:cNvPr id="10" name="TextBox 9">
          <a:extLst>
            <a:ext uri="{FF2B5EF4-FFF2-40B4-BE49-F238E27FC236}">
              <a16:creationId xmlns:a16="http://schemas.microsoft.com/office/drawing/2014/main" id="{1581C8CC-1F38-4E74-9943-B31AE109F6BA}"/>
            </a:ext>
          </a:extLst>
        </xdr:cNvPr>
        <xdr:cNvSpPr txBox="1"/>
      </xdr:nvSpPr>
      <xdr:spPr>
        <a:xfrm>
          <a:off x="5514974" y="6029325"/>
          <a:ext cx="2352676" cy="2756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AddLogformatForm.vue - Modal</a:t>
          </a:r>
          <a:endParaRPr lang="ko-KR" altLang="en-US" sz="1100" b="1">
            <a:solidFill>
              <a:srgbClr val="0B02BE"/>
            </a:solidFill>
            <a:latin typeface="+mn-ea"/>
            <a:ea typeface="+mn-ea"/>
          </a:endParaRPr>
        </a:p>
      </xdr:txBody>
    </xdr:sp>
    <xdr:clientData/>
  </xdr:twoCellAnchor>
  <xdr:twoCellAnchor>
    <xdr:from>
      <xdr:col>10</xdr:col>
      <xdr:colOff>19050</xdr:colOff>
      <xdr:row>13</xdr:row>
      <xdr:rowOff>38100</xdr:rowOff>
    </xdr:from>
    <xdr:to>
      <xdr:col>12</xdr:col>
      <xdr:colOff>457200</xdr:colOff>
      <xdr:row>14</xdr:row>
      <xdr:rowOff>114300</xdr:rowOff>
    </xdr:to>
    <xdr:sp macro="" textlink="">
      <xdr:nvSpPr>
        <xdr:cNvPr id="11" name="직사각형 10">
          <a:extLst>
            <a:ext uri="{FF2B5EF4-FFF2-40B4-BE49-F238E27FC236}">
              <a16:creationId xmlns:a16="http://schemas.microsoft.com/office/drawing/2014/main" id="{D7AE3362-6F3A-48A4-B87A-FB4CE00F82F3}"/>
            </a:ext>
          </a:extLst>
        </xdr:cNvPr>
        <xdr:cNvSpPr/>
      </xdr:nvSpPr>
      <xdr:spPr>
        <a:xfrm>
          <a:off x="6115050" y="2514600"/>
          <a:ext cx="1657350" cy="266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13</xdr:col>
      <xdr:colOff>95250</xdr:colOff>
      <xdr:row>15</xdr:row>
      <xdr:rowOff>28575</xdr:rowOff>
    </xdr:from>
    <xdr:to>
      <xdr:col>18</xdr:col>
      <xdr:colOff>295275</xdr:colOff>
      <xdr:row>21</xdr:row>
      <xdr:rowOff>92957</xdr:rowOff>
    </xdr:to>
    <xdr:pic>
      <xdr:nvPicPr>
        <xdr:cNvPr id="12" name="그림 11">
          <a:extLst>
            <a:ext uri="{FF2B5EF4-FFF2-40B4-BE49-F238E27FC236}">
              <a16:creationId xmlns:a16="http://schemas.microsoft.com/office/drawing/2014/main" id="{AA4A11FC-8651-42C9-B2B3-57F9B25066C7}"/>
            </a:ext>
          </a:extLst>
        </xdr:cNvPr>
        <xdr:cNvPicPr>
          <a:picLocks noChangeAspect="1"/>
        </xdr:cNvPicPr>
      </xdr:nvPicPr>
      <xdr:blipFill>
        <a:blip xmlns:r="http://schemas.openxmlformats.org/officeDocument/2006/relationships" r:embed="rId4"/>
        <a:stretch>
          <a:fillRect/>
        </a:stretch>
      </xdr:blipFill>
      <xdr:spPr>
        <a:xfrm>
          <a:off x="8020050" y="2886075"/>
          <a:ext cx="3248025" cy="1207382"/>
        </a:xfrm>
        <a:prstGeom prst="rect">
          <a:avLst/>
        </a:prstGeom>
      </xdr:spPr>
    </xdr:pic>
    <xdr:clientData/>
  </xdr:twoCellAnchor>
  <xdr:twoCellAnchor>
    <xdr:from>
      <xdr:col>4</xdr:col>
      <xdr:colOff>685799</xdr:colOff>
      <xdr:row>0</xdr:row>
      <xdr:rowOff>0</xdr:rowOff>
    </xdr:from>
    <xdr:to>
      <xdr:col>6</xdr:col>
      <xdr:colOff>0</xdr:colOff>
      <xdr:row>1</xdr:row>
      <xdr:rowOff>152400</xdr:rowOff>
    </xdr:to>
    <xdr:sp macro="" textlink="">
      <xdr:nvSpPr>
        <xdr:cNvPr id="13" name="직사각형 12">
          <a:extLst>
            <a:ext uri="{FF2B5EF4-FFF2-40B4-BE49-F238E27FC236}">
              <a16:creationId xmlns:a16="http://schemas.microsoft.com/office/drawing/2014/main" id="{9A745961-9391-4497-85B7-C731EC39B356}"/>
            </a:ext>
          </a:extLst>
        </xdr:cNvPr>
        <xdr:cNvSpPr/>
      </xdr:nvSpPr>
      <xdr:spPr>
        <a:xfrm>
          <a:off x="3047999" y="0"/>
          <a:ext cx="609601" cy="3429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147638</xdr:colOff>
      <xdr:row>14</xdr:row>
      <xdr:rowOff>47625</xdr:rowOff>
    </xdr:from>
    <xdr:to>
      <xdr:col>10</xdr:col>
      <xdr:colOff>238126</xdr:colOff>
      <xdr:row>30</xdr:row>
      <xdr:rowOff>161926</xdr:rowOff>
    </xdr:to>
    <xdr:cxnSp macro="">
      <xdr:nvCxnSpPr>
        <xdr:cNvPr id="14" name="직선 화살표 연결선 13">
          <a:extLst>
            <a:ext uri="{FF2B5EF4-FFF2-40B4-BE49-F238E27FC236}">
              <a16:creationId xmlns:a16="http://schemas.microsoft.com/office/drawing/2014/main" id="{2E1D88CF-A08D-4911-90CC-10F138D50C98}"/>
            </a:ext>
          </a:extLst>
        </xdr:cNvPr>
        <xdr:cNvCxnSpPr>
          <a:endCxn id="2" idx="0"/>
        </xdr:cNvCxnSpPr>
      </xdr:nvCxnSpPr>
      <xdr:spPr>
        <a:xfrm flipH="1">
          <a:off x="1976438" y="2714625"/>
          <a:ext cx="4357688" cy="316230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584965</xdr:colOff>
      <xdr:row>14</xdr:row>
      <xdr:rowOff>28575</xdr:rowOff>
    </xdr:from>
    <xdr:to>
      <xdr:col>11</xdr:col>
      <xdr:colOff>19051</xdr:colOff>
      <xdr:row>30</xdr:row>
      <xdr:rowOff>200026</xdr:rowOff>
    </xdr:to>
    <xdr:cxnSp macro="">
      <xdr:nvCxnSpPr>
        <xdr:cNvPr id="15" name="직선 화살표 연결선 14">
          <a:extLst>
            <a:ext uri="{FF2B5EF4-FFF2-40B4-BE49-F238E27FC236}">
              <a16:creationId xmlns:a16="http://schemas.microsoft.com/office/drawing/2014/main" id="{6E4837CD-F82B-4DF6-9800-CF1BD70A462D}"/>
            </a:ext>
          </a:extLst>
        </xdr:cNvPr>
        <xdr:cNvCxnSpPr>
          <a:endCxn id="9" idx="0"/>
        </xdr:cNvCxnSpPr>
      </xdr:nvCxnSpPr>
      <xdr:spPr>
        <a:xfrm flipH="1">
          <a:off x="6071365" y="2695575"/>
          <a:ext cx="653286" cy="320992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314325</xdr:colOff>
      <xdr:row>15</xdr:row>
      <xdr:rowOff>85725</xdr:rowOff>
    </xdr:from>
    <xdr:to>
      <xdr:col>23</xdr:col>
      <xdr:colOff>238125</xdr:colOff>
      <xdr:row>21</xdr:row>
      <xdr:rowOff>2081</xdr:rowOff>
    </xdr:to>
    <xdr:pic>
      <xdr:nvPicPr>
        <xdr:cNvPr id="16" name="그림 15">
          <a:extLst>
            <a:ext uri="{FF2B5EF4-FFF2-40B4-BE49-F238E27FC236}">
              <a16:creationId xmlns:a16="http://schemas.microsoft.com/office/drawing/2014/main" id="{604112CD-FD97-4B67-AB5C-02D63D73A1E7}"/>
            </a:ext>
          </a:extLst>
        </xdr:cNvPr>
        <xdr:cNvPicPr>
          <a:picLocks noChangeAspect="1"/>
        </xdr:cNvPicPr>
      </xdr:nvPicPr>
      <xdr:blipFill>
        <a:blip xmlns:r="http://schemas.openxmlformats.org/officeDocument/2006/relationships" r:embed="rId5"/>
        <a:stretch>
          <a:fillRect/>
        </a:stretch>
      </xdr:blipFill>
      <xdr:spPr>
        <a:xfrm>
          <a:off x="11287125" y="2943225"/>
          <a:ext cx="2971800" cy="1059356"/>
        </a:xfrm>
        <a:prstGeom prst="rect">
          <a:avLst/>
        </a:prstGeom>
      </xdr:spPr>
    </xdr:pic>
    <xdr:clientData/>
  </xdr:twoCellAnchor>
  <xdr:twoCellAnchor>
    <xdr:from>
      <xdr:col>3</xdr:col>
      <xdr:colOff>504825</xdr:colOff>
      <xdr:row>16</xdr:row>
      <xdr:rowOff>28575</xdr:rowOff>
    </xdr:from>
    <xdr:to>
      <xdr:col>13</xdr:col>
      <xdr:colOff>95250</xdr:colOff>
      <xdr:row>22</xdr:row>
      <xdr:rowOff>200025</xdr:rowOff>
    </xdr:to>
    <xdr:cxnSp macro="">
      <xdr:nvCxnSpPr>
        <xdr:cNvPr id="17" name="직선 화살표 연결선 16">
          <a:extLst>
            <a:ext uri="{FF2B5EF4-FFF2-40B4-BE49-F238E27FC236}">
              <a16:creationId xmlns:a16="http://schemas.microsoft.com/office/drawing/2014/main" id="{4E02E80C-0311-42D7-B32C-225920A8D818}"/>
            </a:ext>
          </a:extLst>
        </xdr:cNvPr>
        <xdr:cNvCxnSpPr/>
      </xdr:nvCxnSpPr>
      <xdr:spPr>
        <a:xfrm>
          <a:off x="2333625" y="3076575"/>
          <a:ext cx="5686425" cy="130492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628650</xdr:colOff>
      <xdr:row>23</xdr:row>
      <xdr:rowOff>95251</xdr:rowOff>
    </xdr:from>
    <xdr:to>
      <xdr:col>13</xdr:col>
      <xdr:colOff>9525</xdr:colOff>
      <xdr:row>23</xdr:row>
      <xdr:rowOff>114300</xdr:rowOff>
    </xdr:to>
    <xdr:cxnSp macro="">
      <xdr:nvCxnSpPr>
        <xdr:cNvPr id="18" name="직선 화살표 연결선 17">
          <a:extLst>
            <a:ext uri="{FF2B5EF4-FFF2-40B4-BE49-F238E27FC236}">
              <a16:creationId xmlns:a16="http://schemas.microsoft.com/office/drawing/2014/main" id="{6DB31501-4303-470A-B1D8-B433D71A5675}"/>
            </a:ext>
          </a:extLst>
        </xdr:cNvPr>
        <xdr:cNvCxnSpPr/>
      </xdr:nvCxnSpPr>
      <xdr:spPr>
        <a:xfrm flipH="1" flipV="1">
          <a:off x="1828800" y="4476751"/>
          <a:ext cx="6105525" cy="19049"/>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76200</xdr:colOff>
      <xdr:row>15</xdr:row>
      <xdr:rowOff>123824</xdr:rowOff>
    </xdr:from>
    <xdr:to>
      <xdr:col>18</xdr:col>
      <xdr:colOff>180975</xdr:colOff>
      <xdr:row>16</xdr:row>
      <xdr:rowOff>209549</xdr:rowOff>
    </xdr:to>
    <xdr:sp macro="" textlink="">
      <xdr:nvSpPr>
        <xdr:cNvPr id="19" name="TextBox 18">
          <a:extLst>
            <a:ext uri="{FF2B5EF4-FFF2-40B4-BE49-F238E27FC236}">
              <a16:creationId xmlns:a16="http://schemas.microsoft.com/office/drawing/2014/main" id="{176F480A-A378-440B-A0AF-601029511B18}"/>
            </a:ext>
          </a:extLst>
        </xdr:cNvPr>
        <xdr:cNvSpPr txBox="1"/>
      </xdr:nvSpPr>
      <xdr:spPr>
        <a:xfrm>
          <a:off x="10439400" y="2981324"/>
          <a:ext cx="7143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t>수정  시</a:t>
          </a:r>
        </a:p>
      </xdr:txBody>
    </xdr:sp>
    <xdr:clientData/>
  </xdr:twoCellAnchor>
  <xdr:twoCellAnchor>
    <xdr:from>
      <xdr:col>22</xdr:col>
      <xdr:colOff>228600</xdr:colOff>
      <xdr:row>15</xdr:row>
      <xdr:rowOff>85724</xdr:rowOff>
    </xdr:from>
    <xdr:to>
      <xdr:col>23</xdr:col>
      <xdr:colOff>209550</xdr:colOff>
      <xdr:row>16</xdr:row>
      <xdr:rowOff>171449</xdr:rowOff>
    </xdr:to>
    <xdr:sp macro="" textlink="">
      <xdr:nvSpPr>
        <xdr:cNvPr id="20" name="TextBox 19">
          <a:extLst>
            <a:ext uri="{FF2B5EF4-FFF2-40B4-BE49-F238E27FC236}">
              <a16:creationId xmlns:a16="http://schemas.microsoft.com/office/drawing/2014/main" id="{9CEC4A2F-965F-4119-9ACE-159B38CCD4FA}"/>
            </a:ext>
          </a:extLst>
        </xdr:cNvPr>
        <xdr:cNvSpPr txBox="1"/>
      </xdr:nvSpPr>
      <xdr:spPr>
        <a:xfrm>
          <a:off x="13639800" y="2943224"/>
          <a:ext cx="5905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t>삭제 시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66675</xdr:colOff>
      <xdr:row>1</xdr:row>
      <xdr:rowOff>95250</xdr:rowOff>
    </xdr:from>
    <xdr:to>
      <xdr:col>12</xdr:col>
      <xdr:colOff>276225</xdr:colOff>
      <xdr:row>16</xdr:row>
      <xdr:rowOff>1331</xdr:rowOff>
    </xdr:to>
    <xdr:grpSp>
      <xdr:nvGrpSpPr>
        <xdr:cNvPr id="6" name="그룹 5">
          <a:extLst>
            <a:ext uri="{FF2B5EF4-FFF2-40B4-BE49-F238E27FC236}">
              <a16:creationId xmlns:a16="http://schemas.microsoft.com/office/drawing/2014/main" id="{00000000-0008-0000-0600-000006000000}"/>
            </a:ext>
          </a:extLst>
        </xdr:cNvPr>
        <xdr:cNvGrpSpPr/>
      </xdr:nvGrpSpPr>
      <xdr:grpSpPr>
        <a:xfrm>
          <a:off x="66675" y="285750"/>
          <a:ext cx="7564507" cy="2763581"/>
          <a:chOff x="534516" y="352896"/>
          <a:chExt cx="8439150" cy="3049331"/>
        </a:xfrm>
      </xdr:grpSpPr>
      <xdr:pic>
        <xdr:nvPicPr>
          <xdr:cNvPr id="7" name="Picture 2" descr="https://lh3.googleusercontent.com/HsVbgKmzo36XJWxW-m33OQinSAwKfR1UyG1STM16WGPgtzhIyj7XkPNlvPqz8x7oYubWrclDH7bHsDU8Q84f1cnG1hoxgK2UyPGrqW4nyxfdF3M_daKpDwuEJoE4l8Stv35rA9MEBQ1Qq8V4GLtzkYQyQIiKkEWJI4mHds4_IsrFMhh2ohd1Dwpa6SWcwr9JthOu9cIK9MbWvI6HjohZUmEGkAUrUqNYG2PbtIbLpMVIeunUCqo2dnLs5JVQTTHNpormp-WPbNLJjgJ0Rh1BYmP6Uh-LAao3w9q7vSMCErQ1Hjl2ir31tZP1y2XxDRj-WE00hlDW-3NFFc15rNl8nvSLNB8x8J5Bqfi3Ks9fK7VxVoTzlbhvuT92ReuZyxSHxtIOWq9ruKEgmLbMp6xb7v0rcIDCAcxGwbIcsWXzpTj7nPtjo9zH2MQd7kxWsFgkU7Yt1YsKJanLoaoZrirfFGaCtZjIs6EGdwn9Fl0M5IoVYLK8je1kbyuVTucJ10Tknyd_9XrDzsFxaH0arJ3xZGowjlGmGgymn4k3VcOtzri6TGkrN6KpO-ORBcwlb04XreQ2s54KiLLme3ZgS6wVPkc9SBs6q9faZS8OilVDCCmmgJIsFXvn-4OH6jPftSbbeW82Ubj1zW2h3K64sta3rZqyl4-e-gly=w886-h308-no">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516" y="352896"/>
            <a:ext cx="8439150" cy="29337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 name="직사각형 7">
            <a:extLst>
              <a:ext uri="{FF2B5EF4-FFF2-40B4-BE49-F238E27FC236}">
                <a16:creationId xmlns:a16="http://schemas.microsoft.com/office/drawing/2014/main" id="{00000000-0008-0000-0600-000008000000}"/>
              </a:ext>
            </a:extLst>
          </xdr:cNvPr>
          <xdr:cNvSpPr/>
        </xdr:nvSpPr>
        <xdr:spPr>
          <a:xfrm>
            <a:off x="3773438" y="3072714"/>
            <a:ext cx="4925718" cy="329513"/>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b="1"/>
              <a:t>On Single Container?</a:t>
            </a:r>
            <a:endParaRPr lang="ko-KR" altLang="en-US" b="1"/>
          </a:p>
        </xdr:txBody>
      </xdr:sp>
      <xdr:sp macro="" textlink="">
        <xdr:nvSpPr>
          <xdr:cNvPr id="9" name="직사각형 8">
            <a:extLst>
              <a:ext uri="{FF2B5EF4-FFF2-40B4-BE49-F238E27FC236}">
                <a16:creationId xmlns:a16="http://schemas.microsoft.com/office/drawing/2014/main" id="{00000000-0008-0000-0600-000009000000}"/>
              </a:ext>
            </a:extLst>
          </xdr:cNvPr>
          <xdr:cNvSpPr/>
        </xdr:nvSpPr>
        <xdr:spPr>
          <a:xfrm>
            <a:off x="7688675" y="1623528"/>
            <a:ext cx="963827" cy="36179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200" b="1">
                <a:solidFill>
                  <a:schemeClr val="tx1"/>
                </a:solidFill>
              </a:rPr>
              <a:t>Postgresql</a:t>
            </a:r>
            <a:endParaRPr lang="ko-KR" altLang="en-US" sz="1200" b="1">
              <a:solidFill>
                <a:schemeClr val="tx1"/>
              </a:solidFill>
            </a:endParaRPr>
          </a:p>
        </xdr:txBody>
      </xdr:sp>
    </xdr:grpSp>
    <xdr:clientData/>
  </xdr:twoCellAnchor>
  <xdr:twoCellAnchor>
    <xdr:from>
      <xdr:col>2</xdr:col>
      <xdr:colOff>66675</xdr:colOff>
      <xdr:row>14</xdr:row>
      <xdr:rowOff>87923</xdr:rowOff>
    </xdr:from>
    <xdr:to>
      <xdr:col>4</xdr:col>
      <xdr:colOff>102578</xdr:colOff>
      <xdr:row>15</xdr:row>
      <xdr:rowOff>209705</xdr:rowOff>
    </xdr:to>
    <xdr:sp macro="" textlink="">
      <xdr:nvSpPr>
        <xdr:cNvPr id="12" name="직사각형 11">
          <a:extLst>
            <a:ext uri="{FF2B5EF4-FFF2-40B4-BE49-F238E27FC236}">
              <a16:creationId xmlns:a16="http://schemas.microsoft.com/office/drawing/2014/main" id="{00000000-0008-0000-0600-00000C000000}"/>
            </a:ext>
          </a:extLst>
        </xdr:cNvPr>
        <xdr:cNvSpPr/>
      </xdr:nvSpPr>
      <xdr:spPr>
        <a:xfrm>
          <a:off x="1444137" y="3062654"/>
          <a:ext cx="1413364" cy="334263"/>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600" b="1"/>
            <a:t>In</a:t>
          </a:r>
          <a:r>
            <a:rPr lang="en-US" altLang="ko-KR" sz="1600" b="1" baseline="0"/>
            <a:t> Production?</a:t>
          </a:r>
          <a:endParaRPr lang="ko-KR" altLang="en-US" sz="1600" b="1"/>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57150</xdr:colOff>
      <xdr:row>5</xdr:row>
      <xdr:rowOff>38100</xdr:rowOff>
    </xdr:from>
    <xdr:to>
      <xdr:col>11</xdr:col>
      <xdr:colOff>561975</xdr:colOff>
      <xdr:row>19</xdr:row>
      <xdr:rowOff>161288</xdr:rowOff>
    </xdr:to>
    <xdr:pic>
      <xdr:nvPicPr>
        <xdr:cNvPr id="2" name="그림 1">
          <a:extLst>
            <a:ext uri="{FF2B5EF4-FFF2-40B4-BE49-F238E27FC236}">
              <a16:creationId xmlns:a16="http://schemas.microsoft.com/office/drawing/2014/main" id="{79E27C04-57CB-43EF-B539-6F92F9F670DD}"/>
            </a:ext>
          </a:extLst>
        </xdr:cNvPr>
        <xdr:cNvPicPr>
          <a:picLocks noChangeAspect="1"/>
        </xdr:cNvPicPr>
      </xdr:nvPicPr>
      <xdr:blipFill>
        <a:blip xmlns:r="http://schemas.openxmlformats.org/officeDocument/2006/relationships" r:embed="rId1"/>
        <a:stretch>
          <a:fillRect/>
        </a:stretch>
      </xdr:blipFill>
      <xdr:spPr>
        <a:xfrm>
          <a:off x="6686550" y="990600"/>
          <a:ext cx="1724025" cy="27901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257176</xdr:colOff>
      <xdr:row>1</xdr:row>
      <xdr:rowOff>85726</xdr:rowOff>
    </xdr:from>
    <xdr:to>
      <xdr:col>7</xdr:col>
      <xdr:colOff>57150</xdr:colOff>
      <xdr:row>17</xdr:row>
      <xdr:rowOff>104776</xdr:rowOff>
    </xdr:to>
    <xdr:pic>
      <xdr:nvPicPr>
        <xdr:cNvPr id="2" name="그림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257176" y="85726"/>
          <a:ext cx="4600574" cy="3371850"/>
        </a:xfrm>
        <a:prstGeom prst="rect">
          <a:avLst/>
        </a:prstGeom>
      </xdr:spPr>
    </xdr:pic>
    <xdr:clientData/>
  </xdr:twoCellAnchor>
  <xdr:twoCellAnchor editAs="oneCell">
    <xdr:from>
      <xdr:col>0</xdr:col>
      <xdr:colOff>257176</xdr:colOff>
      <xdr:row>17</xdr:row>
      <xdr:rowOff>190501</xdr:rowOff>
    </xdr:from>
    <xdr:to>
      <xdr:col>7</xdr:col>
      <xdr:colOff>66675</xdr:colOff>
      <xdr:row>26</xdr:row>
      <xdr:rowOff>0</xdr:rowOff>
    </xdr:to>
    <xdr:pic>
      <xdr:nvPicPr>
        <xdr:cNvPr id="3" name="그림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257176" y="3543301"/>
          <a:ext cx="4610099" cy="1685924"/>
        </a:xfrm>
        <a:prstGeom prst="rect">
          <a:avLst/>
        </a:prstGeom>
      </xdr:spPr>
    </xdr:pic>
    <xdr:clientData/>
  </xdr:twoCellAnchor>
  <xdr:twoCellAnchor editAs="oneCell">
    <xdr:from>
      <xdr:col>7</xdr:col>
      <xdr:colOff>104776</xdr:colOff>
      <xdr:row>1</xdr:row>
      <xdr:rowOff>57150</xdr:rowOff>
    </xdr:from>
    <xdr:to>
      <xdr:col>14</xdr:col>
      <xdr:colOff>386129</xdr:colOff>
      <xdr:row>17</xdr:row>
      <xdr:rowOff>66675</xdr:rowOff>
    </xdr:to>
    <xdr:pic>
      <xdr:nvPicPr>
        <xdr:cNvPr id="4" name="그림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4905376" y="57150"/>
          <a:ext cx="4972049" cy="3362325"/>
        </a:xfrm>
        <a:prstGeom prst="rect">
          <a:avLst/>
        </a:prstGeom>
      </xdr:spPr>
    </xdr:pic>
    <xdr:clientData/>
  </xdr:twoCellAnchor>
  <xdr:twoCellAnchor editAs="oneCell">
    <xdr:from>
      <xdr:col>14</xdr:col>
      <xdr:colOff>323850</xdr:colOff>
      <xdr:row>1</xdr:row>
      <xdr:rowOff>85725</xdr:rowOff>
    </xdr:from>
    <xdr:to>
      <xdr:col>21</xdr:col>
      <xdr:colOff>142875</xdr:colOff>
      <xdr:row>12</xdr:row>
      <xdr:rowOff>114300</xdr:rowOff>
    </xdr:to>
    <xdr:pic>
      <xdr:nvPicPr>
        <xdr:cNvPr id="5" name="그림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xfrm>
          <a:off x="9925050" y="85725"/>
          <a:ext cx="4619625" cy="2333625"/>
        </a:xfrm>
        <a:prstGeom prst="rect">
          <a:avLst/>
        </a:prstGeom>
      </xdr:spPr>
    </xdr:pic>
    <xdr:clientData/>
  </xdr:twoCellAnchor>
  <xdr:twoCellAnchor editAs="oneCell">
    <xdr:from>
      <xdr:col>14</xdr:col>
      <xdr:colOff>314326</xdr:colOff>
      <xdr:row>13</xdr:row>
      <xdr:rowOff>38101</xdr:rowOff>
    </xdr:from>
    <xdr:to>
      <xdr:col>20</xdr:col>
      <xdr:colOff>104776</xdr:colOff>
      <xdr:row>18</xdr:row>
      <xdr:rowOff>171450</xdr:rowOff>
    </xdr:to>
    <xdr:pic>
      <xdr:nvPicPr>
        <xdr:cNvPr id="6" name="그림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xfrm>
          <a:off x="9915526" y="2552701"/>
          <a:ext cx="3905250" cy="11810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57150</xdr:colOff>
      <xdr:row>14</xdr:row>
      <xdr:rowOff>15688</xdr:rowOff>
    </xdr:from>
    <xdr:to>
      <xdr:col>4</xdr:col>
      <xdr:colOff>2628034</xdr:colOff>
      <xdr:row>32</xdr:row>
      <xdr:rowOff>148593</xdr:rowOff>
    </xdr:to>
    <xdr:pic>
      <xdr:nvPicPr>
        <xdr:cNvPr id="2" name="그림 1">
          <a:extLst>
            <a:ext uri="{FF2B5EF4-FFF2-40B4-BE49-F238E27FC236}">
              <a16:creationId xmlns:a16="http://schemas.microsoft.com/office/drawing/2014/main" id="{ADFCAFFE-D5C5-45CC-B83D-F9CD3026B904}"/>
            </a:ext>
          </a:extLst>
        </xdr:cNvPr>
        <xdr:cNvPicPr>
          <a:picLocks noChangeAspect="1"/>
        </xdr:cNvPicPr>
      </xdr:nvPicPr>
      <xdr:blipFill>
        <a:blip xmlns:r="http://schemas.openxmlformats.org/officeDocument/2006/relationships" r:embed="rId1"/>
        <a:stretch>
          <a:fillRect/>
        </a:stretch>
      </xdr:blipFill>
      <xdr:spPr>
        <a:xfrm>
          <a:off x="875179" y="4778188"/>
          <a:ext cx="6929973" cy="356190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uidev.sdsdevplatform.io/por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serversideup.net/uploading-files-vuejs-axio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ithub.com/constkhi/vue-simple-alert" TargetMode="External"/><Relationship Id="rId1" Type="http://schemas.openxmlformats.org/officeDocument/2006/relationships/hyperlink" Target="https://github.com/chartjs/chartjs-plugin-zo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biigpongsatorn/vue-slide-bar"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cdrf.co/3.1/rest_framework.viewsets/ModelViewSet.html" TargetMode="External"/><Relationship Id="rId1" Type="http://schemas.openxmlformats.org/officeDocument/2006/relationships/hyperlink" Target="https://docs.djangoproject.com/en/3.0/ref/models/field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httpd.apache.org/docs/2.4/ko/mod/core.html" TargetMode="External"/><Relationship Id="rId2" Type="http://schemas.openxmlformats.org/officeDocument/2006/relationships/hyperlink" Target="https://httpd.apache.org/docs/2.4/ko/mod/core.html" TargetMode="External"/><Relationship Id="rId1" Type="http://schemas.openxmlformats.org/officeDocument/2006/relationships/hyperlink" Target="https://httpd.apache.org/docs/2.4/ko/mod/mod_log_config.html" TargetMode="External"/><Relationship Id="rId6" Type="http://schemas.openxmlformats.org/officeDocument/2006/relationships/printerSettings" Target="../printerSettings/printerSettings7.bin"/><Relationship Id="rId5" Type="http://schemas.openxmlformats.org/officeDocument/2006/relationships/hyperlink" Target="https://httpd.apache.org/docs/2.4/ko/mod/mod_logio.html" TargetMode="External"/><Relationship Id="rId4" Type="http://schemas.openxmlformats.org/officeDocument/2006/relationships/hyperlink" Target="https://httpd.apache.org/docs/2.4/ko/mod/mod_logio.htm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www.cdrf.co/3.1/rest_framework.viewsets/ModelViewSet.html" TargetMode="External"/><Relationship Id="rId3" Type="http://schemas.openxmlformats.org/officeDocument/2006/relationships/hyperlink" Target="https://httpd.apache.org/docs/2.4/ko/mod/core.html" TargetMode="External"/><Relationship Id="rId7" Type="http://schemas.openxmlformats.org/officeDocument/2006/relationships/hyperlink" Target="https://docs.microsoft.com/en-us/windows/win32/http/ncsa-logging" TargetMode="External"/><Relationship Id="rId2" Type="http://schemas.openxmlformats.org/officeDocument/2006/relationships/hyperlink" Target="https://httpd.apache.org/docs/2.4/ko/mod/core.html" TargetMode="External"/><Relationship Id="rId1" Type="http://schemas.openxmlformats.org/officeDocument/2006/relationships/hyperlink" Target="https://httpd.apache.org/docs/2.4/ko/mod/mod_log_config.html" TargetMode="External"/><Relationship Id="rId6" Type="http://schemas.openxmlformats.org/officeDocument/2006/relationships/hyperlink" Target="https://docs.microsoft.com/en-us/windows/win32/http/w3c-logging" TargetMode="External"/><Relationship Id="rId5" Type="http://schemas.openxmlformats.org/officeDocument/2006/relationships/hyperlink" Target="https://httpd.apache.org/docs/2.4/ko/mod/mod_logio.html" TargetMode="External"/><Relationship Id="rId10" Type="http://schemas.openxmlformats.org/officeDocument/2006/relationships/printerSettings" Target="../printerSettings/printerSettings8.bin"/><Relationship Id="rId4" Type="http://schemas.openxmlformats.org/officeDocument/2006/relationships/hyperlink" Target="https://httpd.apache.org/docs/2.4/ko/mod/mod_logio.html" TargetMode="External"/><Relationship Id="rId9" Type="http://schemas.openxmlformats.org/officeDocument/2006/relationships/hyperlink" Target="https://docs.djangoproject.com/en/1.8/ref/models/database-function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www.cdrf.co/3.1/rest_framework.viewsets/ModelViewSet.html" TargetMode="External"/><Relationship Id="rId3" Type="http://schemas.openxmlformats.org/officeDocument/2006/relationships/hyperlink" Target="https://httpd.apache.org/docs/2.4/ko/mod/core.html" TargetMode="External"/><Relationship Id="rId7" Type="http://schemas.openxmlformats.org/officeDocument/2006/relationships/hyperlink" Target="https://docs.microsoft.com/en-us/windows/win32/http/ncsa-logging" TargetMode="External"/><Relationship Id="rId2" Type="http://schemas.openxmlformats.org/officeDocument/2006/relationships/hyperlink" Target="https://httpd.apache.org/docs/2.4/ko/mod/core.html" TargetMode="External"/><Relationship Id="rId1" Type="http://schemas.openxmlformats.org/officeDocument/2006/relationships/hyperlink" Target="https://httpd.apache.org/docs/2.4/ko/mod/mod_log_config.html" TargetMode="External"/><Relationship Id="rId6" Type="http://schemas.openxmlformats.org/officeDocument/2006/relationships/hyperlink" Target="https://docs.microsoft.com/en-us/windows/win32/http/w3c-logging" TargetMode="External"/><Relationship Id="rId5" Type="http://schemas.openxmlformats.org/officeDocument/2006/relationships/hyperlink" Target="https://httpd.apache.org/docs/2.4/ko/mod/mod_logio.html" TargetMode="External"/><Relationship Id="rId10" Type="http://schemas.openxmlformats.org/officeDocument/2006/relationships/printerSettings" Target="../printerSettings/printerSettings9.bin"/><Relationship Id="rId4" Type="http://schemas.openxmlformats.org/officeDocument/2006/relationships/hyperlink" Target="https://httpd.apache.org/docs/2.4/ko/mod/mod_logio.html" TargetMode="External"/><Relationship Id="rId9" Type="http://schemas.openxmlformats.org/officeDocument/2006/relationships/hyperlink" Target="https://docs.djangoproject.com/en/1.8/ref/models/database-functions/"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ithub.com/rvinzent/django-dynamic-models/wiki/Introduction" TargetMode="External"/><Relationship Id="rId1" Type="http://schemas.openxmlformats.org/officeDocument/2006/relationships/hyperlink" Target="https://pypi.org/project/django-dynamic-model/"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3" Type="http://schemas.openxmlformats.org/officeDocument/2006/relationships/hyperlink" Target="https://www.w3.org/TR/WD-logfile.html" TargetMode="External"/><Relationship Id="rId2" Type="http://schemas.openxmlformats.org/officeDocument/2006/relationships/hyperlink" Target="https://docs.microsoft.com/en-us/windows/win32/http/ncsa-logging%0aLogFormat%20%22%25h%20%25l%20%25u%20%25t%20/%22%25r/%22%20%25%3es%20%25b%22%20common&#44284;%20&#46041;&#51068;" TargetMode="External"/><Relationship Id="rId1" Type="http://schemas.openxmlformats.org/officeDocument/2006/relationships/hyperlink" Target="https://docs.microsoft.com/en-us/windows/win32/http/w3c-logging" TargetMode="External"/><Relationship Id="rId4"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https://docs.microsoft.com/en-us/windows/win32/http/w3c-logging" TargetMode="External"/><Relationship Id="rId7" Type="http://schemas.openxmlformats.org/officeDocument/2006/relationships/hyperlink" Target="https://tomcat.apache.org/tomcat-8.0-doc/config/valve.html" TargetMode="External"/><Relationship Id="rId2" Type="http://schemas.openxmlformats.org/officeDocument/2006/relationships/hyperlink" Target="https://nginx.org/en/docs/http/ngx_http_log_module.html" TargetMode="External"/><Relationship Id="rId1" Type="http://schemas.openxmlformats.org/officeDocument/2006/relationships/hyperlink" Target="https://httpd.apache.org/docs/2.4/mod/mod_log_config.html" TargetMode="External"/><Relationship Id="rId6" Type="http://schemas.openxmlformats.org/officeDocument/2006/relationships/hyperlink" Target="https://www.w3.org/TR/WD-logfile.html" TargetMode="External"/><Relationship Id="rId5" Type="http://schemas.openxmlformats.org/officeDocument/2006/relationships/hyperlink" Target="https://docs.microsoft.com/en-us/windows/win32/http/iis-logging" TargetMode="External"/><Relationship Id="rId4" Type="http://schemas.openxmlformats.org/officeDocument/2006/relationships/hyperlink" Target="https://docs.microsoft.com/en-us/windows/win32/http/ncsa-logging"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
  <sheetViews>
    <sheetView topLeftCell="A10" zoomScaleNormal="100" workbookViewId="0">
      <selection activeCell="O56" sqref="O56"/>
    </sheetView>
  </sheetViews>
  <sheetFormatPr defaultRowHeight="15"/>
  <cols>
    <col min="1" max="1" width="18.140625" customWidth="1"/>
    <col min="2" max="2" width="10" bestFit="1" customWidth="1"/>
  </cols>
  <sheetData>
    <row r="1" spans="1:11">
      <c r="A1" t="s">
        <v>285</v>
      </c>
      <c r="B1" s="30" t="s">
        <v>404</v>
      </c>
      <c r="K1" t="s">
        <v>407</v>
      </c>
    </row>
    <row r="2" spans="1:11">
      <c r="K2" s="7" t="s">
        <v>408</v>
      </c>
    </row>
    <row r="17" spans="1:13">
      <c r="J17" s="19"/>
      <c r="K17" s="207" t="s">
        <v>536</v>
      </c>
      <c r="L17" s="208"/>
      <c r="M17" s="209"/>
    </row>
    <row r="18" spans="1:13">
      <c r="J18" s="19">
        <v>1</v>
      </c>
      <c r="K18" s="210" t="s">
        <v>537</v>
      </c>
      <c r="L18" s="211"/>
      <c r="M18" s="212"/>
    </row>
    <row r="19" spans="1:13">
      <c r="J19" s="19">
        <v>2</v>
      </c>
      <c r="K19" s="210" t="s">
        <v>538</v>
      </c>
      <c r="L19" s="211"/>
      <c r="M19" s="212"/>
    </row>
    <row r="20" spans="1:13">
      <c r="J20" s="19">
        <v>3</v>
      </c>
      <c r="K20" s="210" t="s">
        <v>539</v>
      </c>
      <c r="L20" s="211"/>
      <c r="M20" s="212"/>
    </row>
    <row r="21" spans="1:13">
      <c r="J21" s="19">
        <v>4</v>
      </c>
      <c r="K21" s="210" t="s">
        <v>540</v>
      </c>
      <c r="L21" s="211"/>
      <c r="M21" s="212"/>
    </row>
    <row r="27" spans="1:13">
      <c r="A27" s="43" t="s">
        <v>534</v>
      </c>
      <c r="B27" s="44" t="s">
        <v>535</v>
      </c>
    </row>
    <row r="51" spans="15:19">
      <c r="O51" s="5" t="s">
        <v>542</v>
      </c>
    </row>
    <row r="52" spans="15:19">
      <c r="O52" t="s">
        <v>544</v>
      </c>
    </row>
    <row r="53" spans="15:19">
      <c r="O53" t="s">
        <v>545</v>
      </c>
    </row>
    <row r="54" spans="15:19">
      <c r="O54" s="5" t="s">
        <v>547</v>
      </c>
      <c r="Q54" s="51" t="s">
        <v>548</v>
      </c>
      <c r="R54" t="s">
        <v>549</v>
      </c>
      <c r="S54" t="s">
        <v>550</v>
      </c>
    </row>
    <row r="55" spans="15:19">
      <c r="O55" t="s">
        <v>551</v>
      </c>
    </row>
  </sheetData>
  <mergeCells count="5">
    <mergeCell ref="K17:M17"/>
    <mergeCell ref="K18:M18"/>
    <mergeCell ref="K19:M19"/>
    <mergeCell ref="K20:M20"/>
    <mergeCell ref="K21:M21"/>
  </mergeCells>
  <phoneticPr fontId="1" type="noConversion"/>
  <hyperlinks>
    <hyperlink ref="K2" r:id="rId1" location="/catalog/Vue/About/Vue" display="http://uidev.sdsdevplatform.io/portal/ - /catalog/Vue/About/Vue" xr:uid="{00000000-0004-0000-0000-000000000000}"/>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32"/>
  <sheetViews>
    <sheetView zoomScale="70" zoomScaleNormal="70" workbookViewId="0">
      <selection activeCell="AA23" sqref="AA23"/>
    </sheetView>
  </sheetViews>
  <sheetFormatPr defaultRowHeight="15"/>
  <cols>
    <col min="1" max="1" width="24.28515625" bestFit="1" customWidth="1"/>
    <col min="2" max="2" width="11.5703125" bestFit="1" customWidth="1"/>
  </cols>
  <sheetData>
    <row r="1" spans="1:13">
      <c r="A1" s="45" t="s">
        <v>536</v>
      </c>
      <c r="B1" s="53"/>
      <c r="C1" s="53"/>
    </row>
    <row r="2" spans="1:13">
      <c r="A2" s="54" t="s">
        <v>537</v>
      </c>
      <c r="B2" s="53"/>
      <c r="C2" s="53"/>
      <c r="M2" s="5" t="s">
        <v>797</v>
      </c>
    </row>
    <row r="3" spans="1:13">
      <c r="A3" s="54" t="s">
        <v>538</v>
      </c>
      <c r="B3" s="53"/>
      <c r="C3" s="53"/>
      <c r="M3" t="s">
        <v>798</v>
      </c>
    </row>
    <row r="4" spans="1:13">
      <c r="A4" s="54" t="s">
        <v>539</v>
      </c>
      <c r="B4" s="53"/>
      <c r="C4" s="53"/>
      <c r="M4" t="s">
        <v>799</v>
      </c>
    </row>
    <row r="5" spans="1:13">
      <c r="A5" s="54" t="s">
        <v>540</v>
      </c>
      <c r="B5" s="53"/>
      <c r="C5" s="53"/>
    </row>
    <row r="7" spans="1:13">
      <c r="A7" s="43" t="s">
        <v>552</v>
      </c>
      <c r="B7" s="44" t="s">
        <v>553</v>
      </c>
    </row>
    <row r="28" spans="15:19">
      <c r="O28" s="6" t="s">
        <v>566</v>
      </c>
    </row>
    <row r="29" spans="15:19">
      <c r="O29" s="5" t="s">
        <v>542</v>
      </c>
      <c r="P29" s="5"/>
      <c r="Q29" s="5" t="s">
        <v>564</v>
      </c>
      <c r="R29" s="5"/>
    </row>
    <row r="30" spans="15:19">
      <c r="O30" s="5" t="s">
        <v>544</v>
      </c>
      <c r="P30" s="5"/>
      <c r="Q30" s="5"/>
      <c r="R30" s="5"/>
    </row>
    <row r="31" spans="15:19">
      <c r="O31" s="5" t="s">
        <v>545</v>
      </c>
      <c r="P31" s="5" t="s">
        <v>565</v>
      </c>
      <c r="Q31" s="5"/>
      <c r="R31" s="5"/>
    </row>
    <row r="32" spans="15:19">
      <c r="O32" s="5" t="s">
        <v>547</v>
      </c>
      <c r="P32" s="5"/>
      <c r="Q32" s="59" t="s">
        <v>548</v>
      </c>
      <c r="R32" s="5" t="s">
        <v>549</v>
      </c>
      <c r="S32" t="s">
        <v>550</v>
      </c>
    </row>
  </sheetData>
  <phoneticPr fontId="1" type="noConversion"/>
  <pageMargins left="0.7" right="0.7" top="0.75" bottom="0.75" header="0.3" footer="0.3"/>
  <pageSetup paperSize="9" scale="4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B2ECB-8FBD-4799-95D6-EF37601202CB}">
  <dimension ref="F4:X44"/>
  <sheetViews>
    <sheetView topLeftCell="K4" zoomScale="85" zoomScaleNormal="85" workbookViewId="0">
      <selection activeCell="V45" sqref="V45"/>
    </sheetView>
  </sheetViews>
  <sheetFormatPr defaultRowHeight="15"/>
  <cols>
    <col min="12" max="12" width="10" bestFit="1" customWidth="1"/>
    <col min="13" max="13" width="21.42578125" bestFit="1" customWidth="1"/>
    <col min="14" max="14" width="18.5703125" bestFit="1" customWidth="1"/>
    <col min="15" max="15" width="21.5703125" bestFit="1" customWidth="1"/>
    <col min="16" max="16" width="19.28515625" bestFit="1" customWidth="1"/>
    <col min="22" max="22" width="12.5703125" bestFit="1" customWidth="1"/>
    <col min="23" max="23" width="17.42578125" customWidth="1"/>
    <col min="24" max="24" width="21" customWidth="1"/>
  </cols>
  <sheetData>
    <row r="4" spans="11:18">
      <c r="M4" t="s">
        <v>872</v>
      </c>
      <c r="N4" t="s">
        <v>873</v>
      </c>
      <c r="O4" t="s">
        <v>874</v>
      </c>
    </row>
    <row r="5" spans="11:18">
      <c r="M5" t="s">
        <v>868</v>
      </c>
      <c r="N5" t="s">
        <v>876</v>
      </c>
      <c r="P5" t="s">
        <v>877</v>
      </c>
    </row>
    <row r="6" spans="11:18">
      <c r="M6" t="s">
        <v>867</v>
      </c>
      <c r="N6" t="s">
        <v>875</v>
      </c>
      <c r="O6" t="s">
        <v>869</v>
      </c>
      <c r="P6" t="s">
        <v>878</v>
      </c>
    </row>
    <row r="7" spans="11:18">
      <c r="O7" t="s">
        <v>870</v>
      </c>
    </row>
    <row r="8" spans="11:18" ht="35.25" customHeight="1">
      <c r="N8" s="106"/>
      <c r="O8" s="106" t="s">
        <v>871</v>
      </c>
    </row>
    <row r="9" spans="11:18">
      <c r="K9" s="144" t="s">
        <v>1258</v>
      </c>
    </row>
    <row r="10" spans="11:18">
      <c r="K10" s="144">
        <v>0</v>
      </c>
      <c r="L10" s="109" t="s">
        <v>907</v>
      </c>
      <c r="M10" s="109" t="s">
        <v>908</v>
      </c>
      <c r="O10" s="5" t="s">
        <v>1255</v>
      </c>
      <c r="P10" s="5" t="s">
        <v>1256</v>
      </c>
    </row>
    <row r="11" spans="11:18" ht="15.75" thickBot="1">
      <c r="K11" s="144"/>
      <c r="L11" s="142"/>
      <c r="M11" s="142"/>
      <c r="N11" s="142"/>
      <c r="O11" s="142"/>
      <c r="P11" s="142"/>
      <c r="Q11" s="142"/>
      <c r="R11" s="142"/>
    </row>
    <row r="12" spans="11:18">
      <c r="K12" s="144">
        <v>1</v>
      </c>
      <c r="L12" s="5" t="s">
        <v>888</v>
      </c>
    </row>
    <row r="13" spans="11:18">
      <c r="K13" s="144"/>
      <c r="M13" t="s">
        <v>879</v>
      </c>
      <c r="N13" t="s">
        <v>880</v>
      </c>
      <c r="O13" t="s">
        <v>881</v>
      </c>
    </row>
    <row r="14" spans="11:18">
      <c r="K14" s="144"/>
      <c r="L14" s="6" t="s">
        <v>886</v>
      </c>
      <c r="M14" t="s">
        <v>882</v>
      </c>
    </row>
    <row r="15" spans="11:18">
      <c r="K15" s="144"/>
      <c r="M15" t="s">
        <v>883</v>
      </c>
    </row>
    <row r="16" spans="11:18">
      <c r="K16" s="144"/>
      <c r="O16" s="5" t="s">
        <v>1257</v>
      </c>
      <c r="P16" s="5" t="s">
        <v>889</v>
      </c>
    </row>
    <row r="17" spans="7:24">
      <c r="K17" s="144"/>
    </row>
    <row r="18" spans="7:24">
      <c r="K18" s="144"/>
    </row>
    <row r="19" spans="7:24">
      <c r="K19" s="144"/>
    </row>
    <row r="20" spans="7:24">
      <c r="K20" s="144"/>
      <c r="L20" s="6" t="s">
        <v>881</v>
      </c>
      <c r="M20" t="s">
        <v>882</v>
      </c>
      <c r="N20" t="s">
        <v>883</v>
      </c>
      <c r="O20" t="s">
        <v>884</v>
      </c>
      <c r="P20" t="s">
        <v>885</v>
      </c>
    </row>
    <row r="21" spans="7:24">
      <c r="K21" s="144"/>
      <c r="M21" t="s">
        <v>887</v>
      </c>
      <c r="V21" s="94" t="s">
        <v>829</v>
      </c>
    </row>
    <row r="22" spans="7:24">
      <c r="K22" s="144"/>
      <c r="V22" s="216" t="s">
        <v>831</v>
      </c>
      <c r="W22" s="9" t="s">
        <v>813</v>
      </c>
      <c r="X22" s="92" t="s">
        <v>817</v>
      </c>
    </row>
    <row r="23" spans="7:24" ht="15.75" thickBot="1">
      <c r="K23" s="144"/>
      <c r="L23" s="142"/>
      <c r="M23" s="142"/>
      <c r="N23" s="142"/>
      <c r="O23" s="143" t="s">
        <v>1257</v>
      </c>
      <c r="P23" s="143" t="s">
        <v>1259</v>
      </c>
      <c r="Q23" s="142"/>
      <c r="R23" s="142"/>
      <c r="V23" s="217"/>
      <c r="W23" s="9" t="s">
        <v>814</v>
      </c>
      <c r="X23" s="92" t="s">
        <v>817</v>
      </c>
    </row>
    <row r="24" spans="7:24">
      <c r="K24" s="144"/>
      <c r="V24" s="217"/>
      <c r="W24" s="9" t="s">
        <v>815</v>
      </c>
      <c r="X24" s="92" t="s">
        <v>818</v>
      </c>
    </row>
    <row r="25" spans="7:24">
      <c r="K25" s="144">
        <v>2</v>
      </c>
      <c r="L25" s="5" t="s">
        <v>890</v>
      </c>
      <c r="V25" s="217"/>
      <c r="W25" s="9" t="s">
        <v>816</v>
      </c>
      <c r="X25" s="92" t="s">
        <v>818</v>
      </c>
    </row>
    <row r="26" spans="7:24">
      <c r="K26" s="144"/>
      <c r="M26" s="110" t="s">
        <v>892</v>
      </c>
      <c r="N26" t="s">
        <v>894</v>
      </c>
      <c r="O26" t="s">
        <v>896</v>
      </c>
      <c r="V26" s="217"/>
      <c r="W26" s="9" t="s">
        <v>823</v>
      </c>
      <c r="X26" s="92"/>
    </row>
    <row r="27" spans="7:24">
      <c r="K27" s="144"/>
      <c r="M27" t="s">
        <v>893</v>
      </c>
      <c r="N27" t="s">
        <v>895</v>
      </c>
      <c r="V27" s="217"/>
      <c r="W27" s="9" t="s">
        <v>824</v>
      </c>
      <c r="X27" s="92"/>
    </row>
    <row r="28" spans="7:24">
      <c r="K28" s="144"/>
      <c r="N28" t="s">
        <v>897</v>
      </c>
      <c r="V28" s="217"/>
      <c r="W28" s="9" t="s">
        <v>825</v>
      </c>
      <c r="X28" s="92" t="s">
        <v>827</v>
      </c>
    </row>
    <row r="29" spans="7:24">
      <c r="K29" s="144"/>
      <c r="N29" t="s">
        <v>898</v>
      </c>
      <c r="V29" s="218"/>
      <c r="W29" s="9" t="s">
        <v>826</v>
      </c>
      <c r="X29" s="92" t="s">
        <v>828</v>
      </c>
    </row>
    <row r="30" spans="7:24">
      <c r="K30" s="144"/>
      <c r="M30" t="s">
        <v>899</v>
      </c>
      <c r="N30" t="s">
        <v>851</v>
      </c>
      <c r="V30" s="213" t="s">
        <v>830</v>
      </c>
      <c r="W30" s="49" t="s">
        <v>820</v>
      </c>
      <c r="X30" s="112"/>
    </row>
    <row r="31" spans="7:24">
      <c r="K31" s="144"/>
      <c r="N31" t="s">
        <v>900</v>
      </c>
      <c r="V31" s="214"/>
      <c r="W31" s="49" t="s">
        <v>821</v>
      </c>
      <c r="X31" s="112"/>
    </row>
    <row r="32" spans="7:24" ht="15.75" thickBot="1">
      <c r="G32" t="s">
        <v>909</v>
      </c>
      <c r="K32" s="144"/>
      <c r="L32" s="142"/>
      <c r="M32" s="142"/>
      <c r="N32" s="142"/>
      <c r="O32" s="143" t="s">
        <v>901</v>
      </c>
      <c r="P32" s="143" t="s">
        <v>902</v>
      </c>
      <c r="Q32" s="142"/>
      <c r="R32" s="142"/>
      <c r="V32" s="215"/>
      <c r="W32" s="49" t="s">
        <v>822</v>
      </c>
      <c r="X32" s="112"/>
    </row>
    <row r="33" spans="6:17">
      <c r="F33">
        <v>1</v>
      </c>
      <c r="G33" t="s">
        <v>910</v>
      </c>
      <c r="K33" s="144"/>
    </row>
    <row r="34" spans="6:17">
      <c r="F34">
        <v>2</v>
      </c>
      <c r="G34" t="s">
        <v>911</v>
      </c>
      <c r="K34" s="144">
        <v>3</v>
      </c>
      <c r="L34" s="5" t="s">
        <v>903</v>
      </c>
      <c r="M34" t="s">
        <v>904</v>
      </c>
    </row>
    <row r="35" spans="6:17">
      <c r="F35">
        <v>2</v>
      </c>
      <c r="G35" t="s">
        <v>912</v>
      </c>
      <c r="M35" t="s">
        <v>905</v>
      </c>
    </row>
    <row r="36" spans="6:17">
      <c r="F36" s="7" t="s">
        <v>913</v>
      </c>
      <c r="M36" t="s">
        <v>882</v>
      </c>
    </row>
    <row r="37" spans="6:17">
      <c r="M37" t="s">
        <v>883</v>
      </c>
    </row>
    <row r="38" spans="6:17">
      <c r="M38" t="s">
        <v>892</v>
      </c>
    </row>
    <row r="39" spans="6:17">
      <c r="M39" t="s">
        <v>893</v>
      </c>
    </row>
    <row r="40" spans="6:17">
      <c r="M40" t="s">
        <v>899</v>
      </c>
    </row>
    <row r="41" spans="6:17" ht="15.75" thickBot="1">
      <c r="L41" s="142"/>
      <c r="M41" s="142"/>
      <c r="N41" s="142"/>
      <c r="O41" s="143" t="s">
        <v>906</v>
      </c>
      <c r="P41" s="143" t="s">
        <v>891</v>
      </c>
      <c r="Q41" s="142"/>
    </row>
    <row r="44" spans="6:17">
      <c r="P44" s="141"/>
    </row>
  </sheetData>
  <mergeCells count="2">
    <mergeCell ref="V30:V32"/>
    <mergeCell ref="V22:V29"/>
  </mergeCells>
  <phoneticPr fontId="34" type="noConversion"/>
  <hyperlinks>
    <hyperlink ref="F36" r:id="rId1" xr:uid="{B558E3CB-EC43-4C25-B54E-A7FCA077240B}"/>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8830-A4C2-4502-B356-CACAF31E4129}">
  <dimension ref="C4:T25"/>
  <sheetViews>
    <sheetView zoomScaleNormal="100" workbookViewId="0">
      <selection activeCell="J28" sqref="J28"/>
    </sheetView>
  </sheetViews>
  <sheetFormatPr defaultRowHeight="15"/>
  <cols>
    <col min="6" max="6" width="8.5703125" bestFit="1" customWidth="1"/>
    <col min="7" max="8" width="10.5703125" bestFit="1" customWidth="1"/>
    <col min="9" max="10" width="11.28515625" bestFit="1" customWidth="1"/>
    <col min="15" max="15" width="4.5703125" customWidth="1"/>
    <col min="16" max="16" width="5" customWidth="1"/>
    <col min="17" max="17" width="12.5703125" bestFit="1" customWidth="1"/>
    <col min="18" max="18" width="20.42578125" customWidth="1"/>
    <col min="19" max="19" width="24.28515625" customWidth="1"/>
    <col min="20" max="20" width="17.140625" customWidth="1"/>
  </cols>
  <sheetData>
    <row r="4" spans="3:20">
      <c r="Q4" s="9" t="s">
        <v>313</v>
      </c>
      <c r="R4" s="13" t="s">
        <v>804</v>
      </c>
      <c r="S4" s="93" t="s">
        <v>805</v>
      </c>
    </row>
    <row r="5" spans="3:20">
      <c r="O5" s="81" t="s">
        <v>832</v>
      </c>
      <c r="P5" s="81">
        <v>1</v>
      </c>
      <c r="Q5" s="9" t="s">
        <v>314</v>
      </c>
      <c r="R5" s="13" t="s">
        <v>351</v>
      </c>
      <c r="S5" s="219" t="s">
        <v>808</v>
      </c>
    </row>
    <row r="6" spans="3:20">
      <c r="O6" s="81" t="s">
        <v>836</v>
      </c>
      <c r="P6" s="81">
        <v>2</v>
      </c>
      <c r="Q6" s="9" t="s">
        <v>600</v>
      </c>
      <c r="R6" s="9" t="s">
        <v>601</v>
      </c>
      <c r="S6" s="219"/>
    </row>
    <row r="7" spans="3:20">
      <c r="O7" s="81" t="s">
        <v>833</v>
      </c>
      <c r="P7" s="81">
        <v>3</v>
      </c>
      <c r="Q7" s="9" t="s">
        <v>344</v>
      </c>
      <c r="R7" s="9" t="s">
        <v>602</v>
      </c>
      <c r="S7" s="219"/>
    </row>
    <row r="8" spans="3:20">
      <c r="O8" s="81" t="s">
        <v>834</v>
      </c>
      <c r="P8" s="81">
        <v>4</v>
      </c>
      <c r="Q8" s="9" t="s">
        <v>345</v>
      </c>
      <c r="R8" s="9" t="s">
        <v>349</v>
      </c>
      <c r="S8" s="219"/>
    </row>
    <row r="9" spans="3:20">
      <c r="O9" s="81" t="s">
        <v>835</v>
      </c>
      <c r="P9" s="81">
        <v>5</v>
      </c>
      <c r="Q9" s="9" t="s">
        <v>315</v>
      </c>
      <c r="R9" s="9" t="s">
        <v>348</v>
      </c>
      <c r="S9" s="219"/>
    </row>
    <row r="10" spans="3:20">
      <c r="Q10" s="9" t="s">
        <v>346</v>
      </c>
      <c r="R10" s="9" t="s">
        <v>347</v>
      </c>
      <c r="S10" s="93" t="s">
        <v>807</v>
      </c>
      <c r="T10" t="s">
        <v>806</v>
      </c>
    </row>
    <row r="14" spans="3:20">
      <c r="C14" t="s">
        <v>800</v>
      </c>
      <c r="Q14" s="94" t="s">
        <v>829</v>
      </c>
    </row>
    <row r="15" spans="3:20">
      <c r="Q15" s="216" t="s">
        <v>831</v>
      </c>
      <c r="R15" s="9" t="s">
        <v>813</v>
      </c>
      <c r="S15" s="92" t="s">
        <v>817</v>
      </c>
    </row>
    <row r="16" spans="3:20">
      <c r="C16" s="10" t="s">
        <v>313</v>
      </c>
      <c r="D16" s="92" t="s">
        <v>809</v>
      </c>
      <c r="E16" s="10" t="s">
        <v>314</v>
      </c>
      <c r="F16" s="10" t="s">
        <v>312</v>
      </c>
      <c r="G16" s="10" t="s">
        <v>810</v>
      </c>
      <c r="H16" s="10" t="s">
        <v>811</v>
      </c>
      <c r="I16" s="10" t="s">
        <v>315</v>
      </c>
      <c r="J16" s="10" t="s">
        <v>812</v>
      </c>
      <c r="Q16" s="217"/>
      <c r="R16" s="9" t="s">
        <v>814</v>
      </c>
      <c r="S16" s="92" t="s">
        <v>817</v>
      </c>
    </row>
    <row r="17" spans="10:19">
      <c r="J17" s="81"/>
      <c r="Q17" s="217"/>
      <c r="R17" s="9" t="s">
        <v>815</v>
      </c>
      <c r="S17" s="92" t="s">
        <v>818</v>
      </c>
    </row>
    <row r="18" spans="10:19">
      <c r="Q18" s="217"/>
      <c r="R18" s="9" t="s">
        <v>816</v>
      </c>
      <c r="S18" s="92" t="s">
        <v>818</v>
      </c>
    </row>
    <row r="19" spans="10:19">
      <c r="Q19" s="217"/>
      <c r="R19" s="9" t="s">
        <v>823</v>
      </c>
      <c r="S19" s="92"/>
    </row>
    <row r="20" spans="10:19">
      <c r="Q20" s="217"/>
      <c r="R20" s="9" t="s">
        <v>824</v>
      </c>
      <c r="S20" s="92"/>
    </row>
    <row r="21" spans="10:19">
      <c r="Q21" s="217"/>
      <c r="R21" s="9" t="s">
        <v>825</v>
      </c>
      <c r="S21" s="92" t="s">
        <v>827</v>
      </c>
    </row>
    <row r="22" spans="10:19">
      <c r="Q22" s="218"/>
      <c r="R22" s="9" t="s">
        <v>826</v>
      </c>
      <c r="S22" s="92" t="s">
        <v>828</v>
      </c>
    </row>
    <row r="23" spans="10:19">
      <c r="Q23" s="216" t="s">
        <v>830</v>
      </c>
      <c r="R23" s="9" t="s">
        <v>820</v>
      </c>
      <c r="S23" s="92"/>
    </row>
    <row r="24" spans="10:19">
      <c r="Q24" s="217"/>
      <c r="R24" s="9" t="s">
        <v>821</v>
      </c>
      <c r="S24" s="92"/>
    </row>
    <row r="25" spans="10:19">
      <c r="Q25" s="218"/>
      <c r="R25" s="9" t="s">
        <v>822</v>
      </c>
      <c r="S25" s="92"/>
    </row>
  </sheetData>
  <mergeCells count="3">
    <mergeCell ref="S5:S9"/>
    <mergeCell ref="Q15:Q22"/>
    <mergeCell ref="Q23:Q25"/>
  </mergeCells>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FA47E-85FE-4586-90AA-87B76E6CAA81}">
  <dimension ref="N10:N24"/>
  <sheetViews>
    <sheetView workbookViewId="0">
      <selection activeCell="S28" sqref="S28"/>
    </sheetView>
  </sheetViews>
  <sheetFormatPr defaultRowHeight="15"/>
  <sheetData>
    <row r="10" spans="14:14">
      <c r="N10" t="s">
        <v>966</v>
      </c>
    </row>
    <row r="14" spans="14:14">
      <c r="N14" t="s">
        <v>967</v>
      </c>
    </row>
    <row r="15" spans="14:14">
      <c r="N15" t="s">
        <v>968</v>
      </c>
    </row>
    <row r="24" spans="14:14">
      <c r="N24" t="s">
        <v>969</v>
      </c>
    </row>
  </sheetData>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A86BA-F3A4-4754-BF0E-F316D4665692}">
  <dimension ref="A1:Q36"/>
  <sheetViews>
    <sheetView topLeftCell="A8" zoomScale="85" zoomScaleNormal="85" workbookViewId="0">
      <selection activeCell="A41" sqref="A41"/>
    </sheetView>
  </sheetViews>
  <sheetFormatPr defaultRowHeight="15"/>
  <cols>
    <col min="1" max="1" width="114" bestFit="1" customWidth="1"/>
    <col min="8" max="8" width="9.5703125" bestFit="1" customWidth="1"/>
  </cols>
  <sheetData>
    <row r="1" spans="1:17">
      <c r="A1" t="s">
        <v>858</v>
      </c>
      <c r="B1" t="s">
        <v>859</v>
      </c>
      <c r="J1" s="220" t="s">
        <v>951</v>
      </c>
      <c r="K1" s="221"/>
      <c r="L1" s="221"/>
      <c r="M1" s="221"/>
      <c r="N1" s="221"/>
      <c r="O1" s="221"/>
      <c r="P1" s="221"/>
      <c r="Q1" s="221"/>
    </row>
    <row r="2" spans="1:17">
      <c r="J2" s="221"/>
      <c r="K2" s="221"/>
      <c r="L2" s="221"/>
      <c r="M2" s="221"/>
      <c r="N2" s="221"/>
      <c r="O2" s="221"/>
      <c r="P2" s="221"/>
      <c r="Q2" s="221"/>
    </row>
    <row r="3" spans="1:17">
      <c r="A3" s="6" t="s">
        <v>860</v>
      </c>
      <c r="J3" s="221"/>
      <c r="K3" s="221"/>
      <c r="L3" s="221"/>
      <c r="M3" s="221"/>
      <c r="N3" s="221"/>
      <c r="O3" s="221"/>
      <c r="P3" s="221"/>
      <c r="Q3" s="221"/>
    </row>
    <row r="4" spans="1:17">
      <c r="A4" t="s">
        <v>858</v>
      </c>
      <c r="B4" t="s">
        <v>861</v>
      </c>
      <c r="D4" t="s">
        <v>862</v>
      </c>
      <c r="J4" s="221"/>
      <c r="K4" s="221"/>
      <c r="L4" s="221"/>
      <c r="M4" s="221"/>
      <c r="N4" s="221"/>
      <c r="O4" s="221"/>
      <c r="P4" s="221"/>
      <c r="Q4" s="221"/>
    </row>
    <row r="5" spans="1:17">
      <c r="J5" s="221"/>
      <c r="K5" s="221"/>
      <c r="L5" s="221"/>
      <c r="M5" s="221"/>
      <c r="N5" s="221"/>
      <c r="O5" s="221"/>
      <c r="P5" s="221"/>
      <c r="Q5" s="221"/>
    </row>
    <row r="6" spans="1:17" ht="15.75" thickBot="1">
      <c r="A6" t="s">
        <v>863</v>
      </c>
      <c r="E6" t="s">
        <v>917</v>
      </c>
      <c r="J6" s="221"/>
      <c r="K6" s="221"/>
      <c r="L6" s="221"/>
      <c r="M6" s="221"/>
      <c r="N6" s="221"/>
      <c r="O6" s="221"/>
      <c r="P6" s="221"/>
      <c r="Q6" s="221"/>
    </row>
    <row r="7" spans="1:17" ht="15.75" thickBot="1">
      <c r="A7" s="105" t="s">
        <v>864</v>
      </c>
      <c r="J7" s="221"/>
      <c r="K7" s="221"/>
      <c r="L7" s="221"/>
      <c r="M7" s="221"/>
      <c r="N7" s="221"/>
      <c r="O7" s="221"/>
      <c r="P7" s="221"/>
      <c r="Q7" s="221"/>
    </row>
    <row r="8" spans="1:17">
      <c r="A8" s="117"/>
      <c r="J8" s="221"/>
      <c r="K8" s="221"/>
      <c r="L8" s="221"/>
      <c r="M8" s="221"/>
      <c r="N8" s="221"/>
      <c r="O8" s="221"/>
      <c r="P8" s="221"/>
      <c r="Q8" s="221"/>
    </row>
    <row r="9" spans="1:17">
      <c r="A9" t="s">
        <v>922</v>
      </c>
      <c r="B9" t="s">
        <v>923</v>
      </c>
      <c r="J9" s="221"/>
      <c r="K9" s="221"/>
      <c r="L9" s="221"/>
      <c r="M9" s="221"/>
      <c r="N9" s="221"/>
      <c r="O9" s="221"/>
      <c r="P9" s="221"/>
      <c r="Q9" s="221"/>
    </row>
    <row r="10" spans="1:17">
      <c r="A10" t="s">
        <v>918</v>
      </c>
      <c r="B10" t="s">
        <v>919</v>
      </c>
      <c r="E10" t="s">
        <v>924</v>
      </c>
      <c r="F10" t="s">
        <v>925</v>
      </c>
      <c r="G10" t="s">
        <v>926</v>
      </c>
      <c r="H10" t="s">
        <v>949</v>
      </c>
      <c r="J10" s="221"/>
      <c r="K10" s="221"/>
      <c r="L10" s="221"/>
      <c r="M10" s="221"/>
      <c r="N10" s="221"/>
      <c r="O10" s="221"/>
      <c r="P10" s="221"/>
      <c r="Q10" s="221"/>
    </row>
    <row r="11" spans="1:17">
      <c r="A11" t="s">
        <v>947</v>
      </c>
      <c r="B11" t="s">
        <v>920</v>
      </c>
      <c r="E11" t="s">
        <v>948</v>
      </c>
      <c r="F11" t="s">
        <v>927</v>
      </c>
      <c r="G11" t="s">
        <v>928</v>
      </c>
      <c r="H11" t="s">
        <v>950</v>
      </c>
      <c r="J11" s="221"/>
      <c r="K11" s="221"/>
      <c r="L11" s="221"/>
      <c r="M11" s="221"/>
      <c r="N11" s="221"/>
      <c r="O11" s="221"/>
      <c r="P11" s="221"/>
      <c r="Q11" s="221"/>
    </row>
    <row r="12" spans="1:17">
      <c r="B12" t="s">
        <v>921</v>
      </c>
      <c r="F12" t="s">
        <v>929</v>
      </c>
      <c r="G12" t="s">
        <v>930</v>
      </c>
      <c r="H12" t="s">
        <v>950</v>
      </c>
      <c r="J12" s="221"/>
      <c r="K12" s="221"/>
      <c r="L12" s="221"/>
      <c r="M12" s="221"/>
      <c r="N12" s="221"/>
      <c r="O12" s="221"/>
      <c r="P12" s="221"/>
      <c r="Q12" s="221"/>
    </row>
    <row r="13" spans="1:17">
      <c r="F13" t="s">
        <v>931</v>
      </c>
      <c r="G13" t="s">
        <v>932</v>
      </c>
      <c r="H13" t="s">
        <v>950</v>
      </c>
      <c r="J13" s="221"/>
      <c r="K13" s="221"/>
      <c r="L13" s="221"/>
      <c r="M13" s="221"/>
      <c r="N13" s="221"/>
      <c r="O13" s="221"/>
      <c r="P13" s="221"/>
      <c r="Q13" s="221"/>
    </row>
    <row r="14" spans="1:17">
      <c r="J14" s="221"/>
      <c r="K14" s="221"/>
      <c r="L14" s="221"/>
      <c r="M14" s="221"/>
      <c r="N14" s="221"/>
      <c r="O14" s="221"/>
      <c r="P14" s="221"/>
      <c r="Q14" s="221"/>
    </row>
    <row r="15" spans="1:17">
      <c r="A15" t="s">
        <v>933</v>
      </c>
      <c r="C15" t="s">
        <v>946</v>
      </c>
      <c r="J15" s="221"/>
      <c r="K15" s="221"/>
      <c r="L15" s="221"/>
      <c r="M15" s="221"/>
      <c r="N15" s="221"/>
      <c r="O15" s="221"/>
      <c r="P15" s="221"/>
      <c r="Q15" s="221"/>
    </row>
    <row r="16" spans="1:17">
      <c r="A16" t="s">
        <v>936</v>
      </c>
      <c r="J16" s="221"/>
      <c r="K16" s="221"/>
      <c r="L16" s="221"/>
      <c r="M16" s="221"/>
      <c r="N16" s="221"/>
      <c r="O16" s="221"/>
      <c r="P16" s="221"/>
      <c r="Q16" s="221"/>
    </row>
    <row r="17" spans="1:2">
      <c r="A17" s="5" t="s">
        <v>937</v>
      </c>
    </row>
    <row r="18" spans="1:2">
      <c r="A18" t="s">
        <v>938</v>
      </c>
    </row>
    <row r="19" spans="1:2">
      <c r="A19" t="s">
        <v>939</v>
      </c>
    </row>
    <row r="20" spans="1:2">
      <c r="A20" t="s">
        <v>940</v>
      </c>
    </row>
    <row r="21" spans="1:2">
      <c r="A21" t="s">
        <v>941</v>
      </c>
    </row>
    <row r="22" spans="1:2">
      <c r="A22" t="s">
        <v>942</v>
      </c>
    </row>
    <row r="23" spans="1:2">
      <c r="A23" s="5" t="s">
        <v>943</v>
      </c>
    </row>
    <row r="24" spans="1:2">
      <c r="A24" t="s">
        <v>934</v>
      </c>
    </row>
    <row r="25" spans="1:2">
      <c r="A25" t="s">
        <v>935</v>
      </c>
    </row>
    <row r="27" spans="1:2">
      <c r="A27" t="s">
        <v>945</v>
      </c>
    </row>
    <row r="28" spans="1:2">
      <c r="A28" t="s">
        <v>944</v>
      </c>
    </row>
    <row r="30" spans="1:2">
      <c r="A30" s="6" t="s">
        <v>1264</v>
      </c>
    </row>
    <row r="31" spans="1:2">
      <c r="A31" t="s">
        <v>1262</v>
      </c>
      <c r="B31" s="7" t="s">
        <v>1265</v>
      </c>
    </row>
    <row r="32" spans="1:2">
      <c r="A32" t="s">
        <v>1263</v>
      </c>
    </row>
    <row r="36" spans="1:1">
      <c r="A36" s="7" t="s">
        <v>1478</v>
      </c>
    </row>
  </sheetData>
  <mergeCells count="1">
    <mergeCell ref="J1:Q16"/>
  </mergeCells>
  <hyperlinks>
    <hyperlink ref="B31" r:id="rId1" xr:uid="{BC9895F5-A7B3-41BE-B56E-AC43709DD161}"/>
    <hyperlink ref="A36" r:id="rId2" xr:uid="{565B0826-D2B9-446E-A556-B78FC1022776}"/>
  </hyperlinks>
  <pageMargins left="0.7" right="0.7" top="0.75" bottom="0.75" header="0.3" footer="0.3"/>
  <pageSetup paperSize="9" orientation="portrait" horizontalDpi="300" verticalDpi="30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0F7E-BA47-4A84-BF83-ABFCCF3C4842}">
  <dimension ref="A1:I6"/>
  <sheetViews>
    <sheetView workbookViewId="0">
      <selection activeCell="G18" sqref="G18"/>
    </sheetView>
  </sheetViews>
  <sheetFormatPr defaultRowHeight="15"/>
  <sheetData>
    <row r="1" spans="1:9">
      <c r="A1" t="s">
        <v>1277</v>
      </c>
    </row>
    <row r="3" spans="1:9">
      <c r="A3" t="s">
        <v>1278</v>
      </c>
      <c r="D3" t="s">
        <v>1279</v>
      </c>
    </row>
    <row r="5" spans="1:9">
      <c r="A5" t="s">
        <v>1280</v>
      </c>
      <c r="G5" t="s">
        <v>1281</v>
      </c>
      <c r="I5" t="s">
        <v>1282</v>
      </c>
    </row>
    <row r="6" spans="1:9">
      <c r="A6" s="7" t="s">
        <v>1283</v>
      </c>
    </row>
  </sheetData>
  <hyperlinks>
    <hyperlink ref="A6" r:id="rId1" xr:uid="{0F35D8A4-95F2-4EB3-828B-8AAB2731E66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26"/>
  <sheetViews>
    <sheetView zoomScale="85" zoomScaleNormal="85" workbookViewId="0">
      <selection activeCell="H16" sqref="H16"/>
    </sheetView>
  </sheetViews>
  <sheetFormatPr defaultRowHeight="15"/>
  <cols>
    <col min="1" max="1" width="15.140625" bestFit="1" customWidth="1"/>
    <col min="2" max="2" width="11.140625" customWidth="1"/>
    <col min="3" max="4" width="12.42578125" bestFit="1" customWidth="1"/>
    <col min="5" max="5" width="10.5703125" customWidth="1"/>
    <col min="6" max="6" width="14.85546875" customWidth="1"/>
    <col min="7" max="7" width="9.7109375" bestFit="1" customWidth="1"/>
    <col min="8" max="8" width="11.28515625" customWidth="1"/>
    <col min="9" max="9" width="13.7109375" customWidth="1"/>
    <col min="10" max="11" width="10.42578125" bestFit="1" customWidth="1"/>
    <col min="12" max="12" width="10.5703125" bestFit="1" customWidth="1"/>
    <col min="13" max="13" width="13.7109375" bestFit="1" customWidth="1"/>
    <col min="14" max="14" width="15.140625" customWidth="1"/>
    <col min="15" max="16" width="13.7109375" bestFit="1" customWidth="1"/>
    <col min="17" max="17" width="12.85546875" bestFit="1" customWidth="1"/>
    <col min="18" max="18" width="25.5703125" bestFit="1" customWidth="1"/>
  </cols>
  <sheetData>
    <row r="1" spans="1:17">
      <c r="A1" s="33" t="s">
        <v>409</v>
      </c>
      <c r="M1" s="9" t="s">
        <v>313</v>
      </c>
      <c r="N1" s="13" t="s">
        <v>343</v>
      </c>
    </row>
    <row r="2" spans="1:17">
      <c r="B2" s="38" t="s">
        <v>467</v>
      </c>
      <c r="C2" s="36" t="s">
        <v>417</v>
      </c>
      <c r="D2" s="32" t="s">
        <v>416</v>
      </c>
      <c r="E2" s="32" t="s">
        <v>413</v>
      </c>
      <c r="F2" s="32" t="s">
        <v>412</v>
      </c>
      <c r="G2" s="32" t="s">
        <v>418</v>
      </c>
      <c r="H2" s="32" t="s">
        <v>411</v>
      </c>
      <c r="I2" s="32" t="s">
        <v>414</v>
      </c>
      <c r="M2" s="9" t="s">
        <v>314</v>
      </c>
      <c r="N2" s="13" t="s">
        <v>351</v>
      </c>
    </row>
    <row r="3" spans="1:17">
      <c r="B3" s="20" t="s">
        <v>428</v>
      </c>
      <c r="C3" s="37" t="s">
        <v>429</v>
      </c>
      <c r="D3" s="20" t="s">
        <v>468</v>
      </c>
      <c r="E3" s="20" t="s">
        <v>430</v>
      </c>
      <c r="F3" s="20" t="s">
        <v>431</v>
      </c>
      <c r="G3" s="20" t="s">
        <v>432</v>
      </c>
      <c r="H3" s="20" t="s">
        <v>433</v>
      </c>
      <c r="I3" s="20" t="s">
        <v>465</v>
      </c>
      <c r="M3" s="9" t="s">
        <v>344</v>
      </c>
      <c r="N3" s="9" t="s">
        <v>350</v>
      </c>
    </row>
    <row r="4" spans="1:17" ht="30">
      <c r="B4" s="35" t="s">
        <v>457</v>
      </c>
      <c r="D4" s="35" t="s">
        <v>451</v>
      </c>
      <c r="E4" s="35" t="s">
        <v>454</v>
      </c>
      <c r="F4" s="35" t="s">
        <v>461</v>
      </c>
      <c r="G4" s="35" t="s">
        <v>451</v>
      </c>
      <c r="H4" s="35" t="s">
        <v>451</v>
      </c>
      <c r="I4" s="35" t="s">
        <v>453</v>
      </c>
      <c r="M4" s="9" t="s">
        <v>345</v>
      </c>
      <c r="N4" s="9" t="s">
        <v>349</v>
      </c>
    </row>
    <row r="5" spans="1:17">
      <c r="A5" t="s">
        <v>445</v>
      </c>
      <c r="M5" s="9" t="s">
        <v>315</v>
      </c>
      <c r="N5" s="9" t="s">
        <v>348</v>
      </c>
    </row>
    <row r="6" spans="1:17">
      <c r="M6" s="9" t="s">
        <v>346</v>
      </c>
      <c r="N6" s="9" t="s">
        <v>347</v>
      </c>
    </row>
    <row r="7" spans="1:17">
      <c r="A7" s="33" t="s">
        <v>410</v>
      </c>
      <c r="D7" s="31"/>
      <c r="E7" s="31" t="s">
        <v>448</v>
      </c>
      <c r="F7" s="222" t="s">
        <v>440</v>
      </c>
      <c r="G7" s="222"/>
      <c r="H7" s="222"/>
      <c r="I7" s="222"/>
      <c r="J7" s="222"/>
      <c r="K7" s="222"/>
      <c r="L7" s="222"/>
      <c r="M7" s="222"/>
      <c r="N7" s="222"/>
      <c r="O7" s="222"/>
      <c r="P7" s="222"/>
    </row>
    <row r="8" spans="1:17">
      <c r="B8" s="32" t="s">
        <v>415</v>
      </c>
      <c r="C8" s="38" t="s">
        <v>434</v>
      </c>
      <c r="D8" s="32" t="s">
        <v>419</v>
      </c>
      <c r="E8" s="32" t="s">
        <v>464</v>
      </c>
      <c r="F8" s="32" t="s">
        <v>420</v>
      </c>
      <c r="G8" s="32" t="s">
        <v>421</v>
      </c>
      <c r="H8" s="32" t="s">
        <v>422</v>
      </c>
      <c r="I8" s="32" t="s">
        <v>423</v>
      </c>
      <c r="J8" s="32" t="s">
        <v>424</v>
      </c>
      <c r="K8" s="32" t="s">
        <v>425</v>
      </c>
      <c r="L8" s="32" t="s">
        <v>426</v>
      </c>
      <c r="M8" s="32" t="s">
        <v>427</v>
      </c>
      <c r="N8" s="32" t="s">
        <v>441</v>
      </c>
      <c r="O8" s="32" t="s">
        <v>442</v>
      </c>
      <c r="P8" s="32" t="s">
        <v>443</v>
      </c>
      <c r="Q8" s="32" t="s">
        <v>414</v>
      </c>
    </row>
    <row r="9" spans="1:17">
      <c r="B9" s="20" t="s">
        <v>428</v>
      </c>
      <c r="C9" s="20" t="s">
        <v>429</v>
      </c>
      <c r="D9" s="20" t="s">
        <v>435</v>
      </c>
      <c r="E9" s="20" t="s">
        <v>447</v>
      </c>
      <c r="F9" s="20" t="s">
        <v>436</v>
      </c>
      <c r="G9" s="20" t="s">
        <v>437</v>
      </c>
      <c r="H9" s="20" t="s">
        <v>438</v>
      </c>
      <c r="I9" s="20" t="s">
        <v>439</v>
      </c>
      <c r="J9" s="20" t="s">
        <v>424</v>
      </c>
      <c r="K9" s="20" t="s">
        <v>425</v>
      </c>
      <c r="L9" s="20" t="s">
        <v>426</v>
      </c>
      <c r="M9" s="20" t="s">
        <v>427</v>
      </c>
      <c r="N9" s="20" t="s">
        <v>444</v>
      </c>
      <c r="O9" s="20" t="s">
        <v>444</v>
      </c>
      <c r="P9" s="20" t="s">
        <v>444</v>
      </c>
      <c r="Q9" s="20" t="s">
        <v>465</v>
      </c>
    </row>
    <row r="10" spans="1:17" ht="45">
      <c r="A10" t="s">
        <v>445</v>
      </c>
      <c r="B10" s="35" t="s">
        <v>457</v>
      </c>
      <c r="D10" s="35" t="s">
        <v>451</v>
      </c>
      <c r="E10" s="35" t="s">
        <v>460</v>
      </c>
      <c r="F10" s="35" t="s">
        <v>451</v>
      </c>
      <c r="G10" s="35" t="s">
        <v>451</v>
      </c>
      <c r="H10" s="35" t="s">
        <v>451</v>
      </c>
      <c r="I10" s="35" t="s">
        <v>451</v>
      </c>
      <c r="J10" s="35" t="s">
        <v>451</v>
      </c>
      <c r="K10" s="35" t="s">
        <v>451</v>
      </c>
      <c r="L10" s="35" t="s">
        <v>451</v>
      </c>
      <c r="M10" s="35" t="s">
        <v>451</v>
      </c>
      <c r="N10" s="35" t="s">
        <v>451</v>
      </c>
      <c r="O10" s="35" t="s">
        <v>451</v>
      </c>
      <c r="P10" s="35" t="s">
        <v>451</v>
      </c>
      <c r="Q10" s="35" t="s">
        <v>453</v>
      </c>
    </row>
    <row r="11" spans="1:17" ht="60">
      <c r="F11" s="35" t="s">
        <v>466</v>
      </c>
      <c r="G11" s="35" t="s">
        <v>466</v>
      </c>
      <c r="H11" s="35" t="s">
        <v>466</v>
      </c>
      <c r="M11" s="35" t="s">
        <v>466</v>
      </c>
    </row>
    <row r="12" spans="1:17">
      <c r="A12" s="39" t="s">
        <v>446</v>
      </c>
    </row>
    <row r="13" spans="1:17">
      <c r="A13" s="34"/>
    </row>
    <row r="16" spans="1:17">
      <c r="A16" t="s">
        <v>449</v>
      </c>
      <c r="B16" s="7" t="s">
        <v>462</v>
      </c>
      <c r="H16" s="7" t="s">
        <v>916</v>
      </c>
    </row>
    <row r="17" spans="1:7">
      <c r="A17" s="35" t="s">
        <v>450</v>
      </c>
    </row>
    <row r="18" spans="1:7">
      <c r="A18" s="35" t="s">
        <v>457</v>
      </c>
    </row>
    <row r="19" spans="1:7">
      <c r="A19" s="35" t="s">
        <v>451</v>
      </c>
    </row>
    <row r="20" spans="1:7" ht="30">
      <c r="A20" s="35" t="s">
        <v>460</v>
      </c>
    </row>
    <row r="21" spans="1:7">
      <c r="A21" s="35" t="s">
        <v>452</v>
      </c>
    </row>
    <row r="22" spans="1:7" ht="30">
      <c r="A22" s="35" t="s">
        <v>453</v>
      </c>
    </row>
    <row r="23" spans="1:7">
      <c r="A23" s="35" t="s">
        <v>455</v>
      </c>
    </row>
    <row r="24" spans="1:7" ht="109.5" customHeight="1">
      <c r="A24" s="35" t="s">
        <v>454</v>
      </c>
      <c r="B24" s="223" t="s">
        <v>456</v>
      </c>
      <c r="C24" s="223"/>
      <c r="D24" s="223"/>
      <c r="E24" s="223"/>
      <c r="F24" s="223"/>
      <c r="G24" s="223"/>
    </row>
    <row r="25" spans="1:7" ht="30">
      <c r="A25" s="35" t="s">
        <v>461</v>
      </c>
      <c r="B25" s="224" t="s">
        <v>463</v>
      </c>
      <c r="C25" s="224"/>
      <c r="D25" s="224"/>
      <c r="E25" s="224"/>
      <c r="F25" s="224"/>
      <c r="G25" s="224"/>
    </row>
    <row r="26" spans="1:7" ht="159" customHeight="1">
      <c r="A26" s="35" t="s">
        <v>458</v>
      </c>
      <c r="B26" s="223" t="s">
        <v>459</v>
      </c>
      <c r="C26" s="223"/>
      <c r="D26" s="223"/>
      <c r="E26" s="223"/>
      <c r="F26" s="223"/>
      <c r="G26" s="223"/>
    </row>
  </sheetData>
  <mergeCells count="4">
    <mergeCell ref="F7:P7"/>
    <mergeCell ref="B24:G24"/>
    <mergeCell ref="B26:G26"/>
    <mergeCell ref="B25:G25"/>
  </mergeCells>
  <phoneticPr fontId="1" type="noConversion"/>
  <hyperlinks>
    <hyperlink ref="B16" r:id="rId1" xr:uid="{00000000-0004-0000-0200-000000000000}"/>
    <hyperlink ref="H16" r:id="rId2" location="get_queryset" display="http://www.cdrf.co/3.1/rest_framework.viewsets/ModelViewSet.html - get_queryset" xr:uid="{EB3C776D-0C15-44A0-B9CD-1A860C621EC3}"/>
  </hyperlinks>
  <pageMargins left="0.25" right="0.25" top="0.75" bottom="0.75" header="0.3" footer="0.3"/>
  <pageSetup paperSize="9" scale="61" orientation="landscape" verticalDpi="0"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43"/>
  <sheetViews>
    <sheetView zoomScale="85" zoomScaleNormal="85" workbookViewId="0">
      <selection activeCell="J12" sqref="J12"/>
    </sheetView>
  </sheetViews>
  <sheetFormatPr defaultRowHeight="15"/>
  <cols>
    <col min="1" max="1" width="10.5703125" bestFit="1" customWidth="1"/>
    <col min="2" max="2" width="15.5703125" customWidth="1"/>
    <col min="3" max="3" width="14.28515625" bestFit="1" customWidth="1"/>
    <col min="4" max="4" width="18.42578125" bestFit="1" customWidth="1"/>
    <col min="5" max="5" width="15.7109375" customWidth="1"/>
    <col min="6" max="6" width="13.85546875" bestFit="1" customWidth="1"/>
    <col min="7" max="7" width="15" bestFit="1" customWidth="1"/>
    <col min="8" max="8" width="17.42578125" customWidth="1"/>
    <col min="9" max="9" width="13.7109375" customWidth="1"/>
    <col min="10" max="12" width="13.7109375" bestFit="1" customWidth="1"/>
    <col min="13" max="14" width="25.5703125" bestFit="1" customWidth="1"/>
    <col min="15" max="15" width="13.7109375" bestFit="1" customWidth="1"/>
    <col min="16" max="16" width="13.85546875" customWidth="1"/>
    <col min="17" max="17" width="12.85546875" bestFit="1" customWidth="1"/>
    <col min="18" max="18" width="25.5703125" bestFit="1" customWidth="1"/>
  </cols>
  <sheetData>
    <row r="1" spans="1:14">
      <c r="A1" s="33" t="s">
        <v>572</v>
      </c>
    </row>
    <row r="2" spans="1:14">
      <c r="B2" s="38" t="s">
        <v>567</v>
      </c>
      <c r="C2" s="32" t="s">
        <v>568</v>
      </c>
      <c r="D2" s="32" t="s">
        <v>569</v>
      </c>
      <c r="E2" s="32" t="s">
        <v>582</v>
      </c>
      <c r="F2" s="32" t="s">
        <v>411</v>
      </c>
      <c r="G2" s="32" t="s">
        <v>414</v>
      </c>
    </row>
    <row r="3" spans="1:14">
      <c r="B3" s="20" t="s">
        <v>428</v>
      </c>
      <c r="C3" s="20" t="s">
        <v>468</v>
      </c>
      <c r="D3" s="20" t="s">
        <v>570</v>
      </c>
      <c r="E3" s="20" t="s">
        <v>432</v>
      </c>
      <c r="F3" s="20" t="s">
        <v>433</v>
      </c>
      <c r="G3" s="20" t="s">
        <v>465</v>
      </c>
    </row>
    <row r="4" spans="1:14" ht="30">
      <c r="B4" s="62" t="s">
        <v>457</v>
      </c>
      <c r="C4" s="62" t="s">
        <v>451</v>
      </c>
      <c r="D4" s="62" t="s">
        <v>571</v>
      </c>
      <c r="E4" s="62" t="s">
        <v>451</v>
      </c>
      <c r="F4" s="62" t="s">
        <v>451</v>
      </c>
      <c r="G4" s="62" t="s">
        <v>453</v>
      </c>
    </row>
    <row r="5" spans="1:14">
      <c r="B5" s="20"/>
      <c r="C5" s="20">
        <v>50</v>
      </c>
      <c r="D5" s="20">
        <v>300</v>
      </c>
      <c r="E5" s="20">
        <v>100</v>
      </c>
      <c r="F5" s="20">
        <v>50</v>
      </c>
      <c r="G5" s="20"/>
    </row>
    <row r="6" spans="1:14">
      <c r="L6" s="9" t="s">
        <v>313</v>
      </c>
      <c r="M6" s="13" t="s">
        <v>343</v>
      </c>
    </row>
    <row r="7" spans="1:14">
      <c r="A7" s="33" t="s">
        <v>573</v>
      </c>
      <c r="L7" s="9" t="s">
        <v>314</v>
      </c>
      <c r="M7" s="13" t="s">
        <v>351</v>
      </c>
    </row>
    <row r="8" spans="1:14">
      <c r="B8" s="38" t="s">
        <v>595</v>
      </c>
      <c r="C8" s="60" t="s">
        <v>580</v>
      </c>
      <c r="D8" s="32" t="s">
        <v>581</v>
      </c>
      <c r="E8" s="32" t="s">
        <v>576</v>
      </c>
      <c r="F8" s="32" t="s">
        <v>575</v>
      </c>
      <c r="G8" s="32" t="s">
        <v>577</v>
      </c>
      <c r="L8" s="49" t="s">
        <v>600</v>
      </c>
      <c r="M8" s="49" t="s">
        <v>601</v>
      </c>
      <c r="N8" t="s">
        <v>603</v>
      </c>
    </row>
    <row r="9" spans="1:14">
      <c r="B9" s="20" t="s">
        <v>428</v>
      </c>
      <c r="C9" s="20" t="s">
        <v>583</v>
      </c>
      <c r="D9" s="20" t="s">
        <v>430</v>
      </c>
      <c r="E9" s="20" t="s">
        <v>431</v>
      </c>
      <c r="F9" s="20" t="s">
        <v>578</v>
      </c>
      <c r="G9" s="20" t="s">
        <v>465</v>
      </c>
      <c r="L9" s="9" t="s">
        <v>344</v>
      </c>
      <c r="M9" s="9" t="s">
        <v>602</v>
      </c>
    </row>
    <row r="10" spans="1:14" ht="30">
      <c r="B10" s="62" t="s">
        <v>457</v>
      </c>
      <c r="C10" s="62" t="s">
        <v>457</v>
      </c>
      <c r="D10" s="62" t="s">
        <v>451</v>
      </c>
      <c r="E10" s="62" t="s">
        <v>454</v>
      </c>
      <c r="F10" s="63" t="s">
        <v>460</v>
      </c>
      <c r="G10" s="62" t="s">
        <v>453</v>
      </c>
      <c r="L10" s="9" t="s">
        <v>345</v>
      </c>
      <c r="M10" s="9" t="s">
        <v>349</v>
      </c>
    </row>
    <row r="11" spans="1:14">
      <c r="B11" s="63"/>
      <c r="C11" s="63"/>
      <c r="D11" s="20">
        <v>100</v>
      </c>
      <c r="E11" s="63"/>
      <c r="F11" s="63"/>
      <c r="G11" s="63"/>
      <c r="H11" s="35"/>
      <c r="I11" s="35"/>
      <c r="L11" s="9" t="s">
        <v>315</v>
      </c>
      <c r="M11" s="9" t="s">
        <v>348</v>
      </c>
    </row>
    <row r="12" spans="1:14">
      <c r="L12" s="9" t="s">
        <v>346</v>
      </c>
      <c r="M12" s="9" t="s">
        <v>347</v>
      </c>
    </row>
    <row r="13" spans="1:14">
      <c r="A13" s="33" t="s">
        <v>574</v>
      </c>
      <c r="D13" s="31"/>
      <c r="E13" s="61" t="s">
        <v>440</v>
      </c>
      <c r="F13" s="52"/>
      <c r="G13" s="52"/>
      <c r="H13" s="66"/>
      <c r="I13" s="66"/>
      <c r="J13" s="66"/>
    </row>
    <row r="14" spans="1:14">
      <c r="B14" s="38" t="s">
        <v>579</v>
      </c>
      <c r="C14" s="60" t="s">
        <v>596</v>
      </c>
      <c r="D14" s="32" t="s">
        <v>584</v>
      </c>
      <c r="E14" s="32" t="s">
        <v>597</v>
      </c>
      <c r="F14" s="32" t="s">
        <v>598</v>
      </c>
      <c r="G14" s="32" t="s">
        <v>599</v>
      </c>
      <c r="H14" s="32" t="s">
        <v>420</v>
      </c>
      <c r="I14" s="32" t="s">
        <v>421</v>
      </c>
      <c r="J14" s="32" t="s">
        <v>422</v>
      </c>
    </row>
    <row r="15" spans="1:14">
      <c r="B15" s="20" t="s">
        <v>428</v>
      </c>
      <c r="C15" s="20" t="s">
        <v>583</v>
      </c>
      <c r="D15" s="20" t="s">
        <v>435</v>
      </c>
      <c r="E15" s="20" t="s">
        <v>436</v>
      </c>
      <c r="F15" s="20" t="s">
        <v>437</v>
      </c>
      <c r="G15" s="20" t="s">
        <v>438</v>
      </c>
      <c r="H15" s="20" t="s">
        <v>436</v>
      </c>
      <c r="I15" s="20" t="s">
        <v>437</v>
      </c>
      <c r="J15" s="20" t="s">
        <v>438</v>
      </c>
    </row>
    <row r="16" spans="1:14" ht="45">
      <c r="B16" s="62" t="s">
        <v>585</v>
      </c>
      <c r="C16" s="62" t="s">
        <v>585</v>
      </c>
      <c r="D16" s="62" t="s">
        <v>571</v>
      </c>
      <c r="E16" s="62" t="s">
        <v>587</v>
      </c>
      <c r="F16" s="62" t="s">
        <v>587</v>
      </c>
      <c r="G16" s="62" t="s">
        <v>588</v>
      </c>
      <c r="H16" s="62" t="s">
        <v>587</v>
      </c>
      <c r="I16" s="62" t="s">
        <v>587</v>
      </c>
      <c r="J16" s="62" t="s">
        <v>587</v>
      </c>
    </row>
    <row r="17" spans="1:14">
      <c r="B17" s="64"/>
      <c r="C17" s="64"/>
      <c r="D17" s="64">
        <v>1000</v>
      </c>
      <c r="E17" s="64"/>
      <c r="F17" s="65"/>
      <c r="G17" s="65"/>
      <c r="H17" s="64"/>
      <c r="I17" s="65"/>
      <c r="J17" s="65"/>
    </row>
    <row r="19" spans="1:14">
      <c r="B19" s="61" t="s">
        <v>440</v>
      </c>
      <c r="C19" s="52"/>
      <c r="D19" s="52"/>
      <c r="E19" s="52"/>
      <c r="F19" s="52"/>
      <c r="G19" s="52"/>
      <c r="H19" s="52"/>
      <c r="I19" s="52"/>
      <c r="J19" s="52"/>
      <c r="K19" s="52"/>
      <c r="L19" s="42"/>
      <c r="M19" s="42"/>
    </row>
    <row r="20" spans="1:14">
      <c r="B20" s="32" t="s">
        <v>613</v>
      </c>
      <c r="C20" s="32" t="s">
        <v>423</v>
      </c>
      <c r="D20" s="32" t="s">
        <v>424</v>
      </c>
      <c r="E20" s="32" t="s">
        <v>425</v>
      </c>
      <c r="F20" s="32" t="s">
        <v>426</v>
      </c>
      <c r="G20" s="32" t="s">
        <v>427</v>
      </c>
      <c r="H20" s="32" t="s">
        <v>441</v>
      </c>
      <c r="I20" s="32" t="s">
        <v>442</v>
      </c>
      <c r="J20" s="32" t="s">
        <v>443</v>
      </c>
      <c r="K20" s="32" t="s">
        <v>414</v>
      </c>
    </row>
    <row r="21" spans="1:14">
      <c r="B21" s="20" t="s">
        <v>618</v>
      </c>
      <c r="C21" s="20" t="s">
        <v>439</v>
      </c>
      <c r="D21" s="20" t="s">
        <v>614</v>
      </c>
      <c r="E21" s="20" t="s">
        <v>615</v>
      </c>
      <c r="F21" s="20" t="s">
        <v>616</v>
      </c>
      <c r="G21" s="20" t="s">
        <v>617</v>
      </c>
      <c r="H21" s="20" t="s">
        <v>444</v>
      </c>
      <c r="I21" s="20" t="s">
        <v>444</v>
      </c>
      <c r="J21" s="20" t="s">
        <v>444</v>
      </c>
      <c r="K21" s="20" t="s">
        <v>465</v>
      </c>
    </row>
    <row r="22" spans="1:14" ht="30">
      <c r="B22" s="62" t="s">
        <v>586</v>
      </c>
      <c r="C22" s="62" t="s">
        <v>586</v>
      </c>
      <c r="D22" s="62" t="s">
        <v>586</v>
      </c>
      <c r="E22" s="62" t="s">
        <v>586</v>
      </c>
      <c r="F22" s="62" t="s">
        <v>586</v>
      </c>
      <c r="G22" s="62" t="s">
        <v>589</v>
      </c>
      <c r="H22" s="62" t="s">
        <v>586</v>
      </c>
      <c r="I22" s="62" t="s">
        <v>590</v>
      </c>
      <c r="J22" s="62" t="s">
        <v>590</v>
      </c>
      <c r="K22" s="62" t="s">
        <v>591</v>
      </c>
    </row>
    <row r="23" spans="1:14">
      <c r="B23" s="64">
        <v>200</v>
      </c>
      <c r="C23" s="65">
        <v>40</v>
      </c>
      <c r="D23" s="64">
        <v>200</v>
      </c>
      <c r="E23" s="64">
        <v>200</v>
      </c>
      <c r="F23" s="65">
        <v>10</v>
      </c>
      <c r="G23" s="64"/>
      <c r="H23" s="65">
        <v>200</v>
      </c>
      <c r="I23" s="64">
        <v>200</v>
      </c>
      <c r="J23" s="65">
        <v>200</v>
      </c>
      <c r="K23" s="64"/>
    </row>
    <row r="25" spans="1:14">
      <c r="B25" s="7" t="s">
        <v>619</v>
      </c>
    </row>
    <row r="26" spans="1:14" ht="15.75" thickBot="1"/>
    <row r="27" spans="1:14" ht="15.75" thickBot="1">
      <c r="B27" s="80" t="s">
        <v>620</v>
      </c>
      <c r="C27" s="227" t="s">
        <v>621</v>
      </c>
      <c r="D27" s="228"/>
      <c r="E27" s="80" t="s">
        <v>620</v>
      </c>
      <c r="F27" s="227" t="s">
        <v>621</v>
      </c>
      <c r="G27" s="228"/>
      <c r="H27" s="80" t="s">
        <v>620</v>
      </c>
      <c r="I27" s="227" t="s">
        <v>621</v>
      </c>
      <c r="J27" s="228"/>
      <c r="L27" s="239" t="s">
        <v>693</v>
      </c>
      <c r="M27" s="239"/>
      <c r="N27" s="239"/>
    </row>
    <row r="28" spans="1:14" ht="32.25" thickBot="1">
      <c r="A28" s="81">
        <v>1</v>
      </c>
      <c r="B28" s="69" t="s">
        <v>622</v>
      </c>
      <c r="C28" s="225" t="s">
        <v>623</v>
      </c>
      <c r="D28" s="226"/>
      <c r="E28" s="70" t="s">
        <v>644</v>
      </c>
      <c r="F28" s="229" t="s">
        <v>645</v>
      </c>
      <c r="G28" s="230"/>
      <c r="H28" s="69" t="s">
        <v>666</v>
      </c>
      <c r="I28" s="225" t="s">
        <v>667</v>
      </c>
      <c r="J28" s="226"/>
      <c r="L28" s="240" t="s">
        <v>694</v>
      </c>
      <c r="M28" s="240"/>
      <c r="N28" s="240"/>
    </row>
    <row r="29" spans="1:14" ht="31.5" thickBot="1">
      <c r="A29" s="81">
        <v>2</v>
      </c>
      <c r="B29" s="70" t="s">
        <v>624</v>
      </c>
      <c r="C29" s="229" t="s">
        <v>625</v>
      </c>
      <c r="D29" s="230"/>
      <c r="E29" s="69" t="s">
        <v>646</v>
      </c>
      <c r="F29" s="225" t="s">
        <v>647</v>
      </c>
      <c r="G29" s="226"/>
      <c r="H29" s="70" t="s">
        <v>668</v>
      </c>
      <c r="I29" s="233" t="s">
        <v>669</v>
      </c>
      <c r="J29" s="234"/>
      <c r="L29" s="239" t="s">
        <v>695</v>
      </c>
      <c r="M29" s="239"/>
      <c r="N29" s="239"/>
    </row>
    <row r="30" spans="1:14" ht="15.75" thickBot="1">
      <c r="A30" s="81">
        <v>3</v>
      </c>
      <c r="B30" s="69" t="s">
        <v>626</v>
      </c>
      <c r="C30" s="225" t="s">
        <v>627</v>
      </c>
      <c r="D30" s="226"/>
      <c r="E30" s="70" t="s">
        <v>648</v>
      </c>
      <c r="F30" s="229" t="s">
        <v>649</v>
      </c>
      <c r="G30" s="230"/>
      <c r="H30" s="69" t="s">
        <v>670</v>
      </c>
      <c r="I30" s="225" t="s">
        <v>671</v>
      </c>
      <c r="J30" s="226"/>
      <c r="L30" s="240" t="s">
        <v>696</v>
      </c>
      <c r="M30" s="240"/>
      <c r="N30" s="240"/>
    </row>
    <row r="31" spans="1:14" ht="17.25" customHeight="1" thickBot="1">
      <c r="A31" s="81">
        <v>4</v>
      </c>
      <c r="B31" s="70" t="s">
        <v>628</v>
      </c>
      <c r="C31" s="229" t="s">
        <v>629</v>
      </c>
      <c r="D31" s="230"/>
      <c r="E31" s="69" t="s">
        <v>650</v>
      </c>
      <c r="F31" s="225" t="s">
        <v>651</v>
      </c>
      <c r="G31" s="226"/>
      <c r="H31" s="70" t="s">
        <v>672</v>
      </c>
      <c r="I31" s="229" t="s">
        <v>673</v>
      </c>
      <c r="J31" s="230"/>
      <c r="L31" s="239" t="s">
        <v>697</v>
      </c>
      <c r="M31" s="239"/>
      <c r="N31" s="239"/>
    </row>
    <row r="32" spans="1:14" ht="43.5" customHeight="1" thickBot="1">
      <c r="A32" s="81">
        <v>5</v>
      </c>
      <c r="B32" s="69" t="s">
        <v>630</v>
      </c>
      <c r="C32" s="225" t="s">
        <v>631</v>
      </c>
      <c r="D32" s="226"/>
      <c r="E32" s="70" t="s">
        <v>652</v>
      </c>
      <c r="F32" s="229" t="s">
        <v>653</v>
      </c>
      <c r="G32" s="230"/>
      <c r="H32" s="69" t="s">
        <v>674</v>
      </c>
      <c r="I32" s="225" t="s">
        <v>675</v>
      </c>
      <c r="J32" s="226"/>
      <c r="L32" s="240" t="s">
        <v>698</v>
      </c>
      <c r="M32" s="240"/>
      <c r="N32" s="240"/>
    </row>
    <row r="33" spans="1:14" ht="31.5" customHeight="1" thickBot="1">
      <c r="A33" s="81">
        <v>6</v>
      </c>
      <c r="B33" s="70" t="s">
        <v>632</v>
      </c>
      <c r="C33" s="229" t="s">
        <v>633</v>
      </c>
      <c r="D33" s="230"/>
      <c r="E33" s="69" t="s">
        <v>654</v>
      </c>
      <c r="F33" s="225" t="s">
        <v>655</v>
      </c>
      <c r="G33" s="226"/>
      <c r="H33" s="70" t="s">
        <v>676</v>
      </c>
      <c r="I33" s="231" t="s">
        <v>677</v>
      </c>
      <c r="J33" s="232"/>
      <c r="L33" s="239" t="s">
        <v>699</v>
      </c>
      <c r="M33" s="239"/>
      <c r="N33" s="239"/>
    </row>
    <row r="34" spans="1:14" ht="28.5" customHeight="1" thickBot="1">
      <c r="A34" s="81">
        <v>7</v>
      </c>
      <c r="B34" s="69" t="s">
        <v>634</v>
      </c>
      <c r="C34" s="225" t="s">
        <v>635</v>
      </c>
      <c r="D34" s="226"/>
      <c r="E34" s="70" t="s">
        <v>656</v>
      </c>
      <c r="F34" s="229" t="s">
        <v>657</v>
      </c>
      <c r="G34" s="230"/>
      <c r="H34" s="69" t="s">
        <v>678</v>
      </c>
      <c r="I34" s="235" t="s">
        <v>679</v>
      </c>
      <c r="J34" s="236"/>
      <c r="L34" s="240" t="s">
        <v>700</v>
      </c>
      <c r="M34" s="240"/>
      <c r="N34" s="240"/>
    </row>
    <row r="35" spans="1:14" ht="31.5" customHeight="1" thickBot="1">
      <c r="A35" s="81">
        <v>8</v>
      </c>
      <c r="B35" s="70" t="s">
        <v>636</v>
      </c>
      <c r="C35" s="229" t="s">
        <v>637</v>
      </c>
      <c r="D35" s="230"/>
      <c r="E35" s="69" t="s">
        <v>658</v>
      </c>
      <c r="F35" s="225" t="s">
        <v>659</v>
      </c>
      <c r="G35" s="226"/>
      <c r="H35" s="77" t="s">
        <v>680</v>
      </c>
      <c r="I35" s="229" t="s">
        <v>681</v>
      </c>
      <c r="J35" s="230"/>
      <c r="L35" s="239" t="s">
        <v>701</v>
      </c>
      <c r="M35" s="239"/>
      <c r="N35" s="239"/>
    </row>
    <row r="36" spans="1:14" ht="60.75" thickBot="1">
      <c r="A36" s="81">
        <v>9</v>
      </c>
      <c r="B36" s="69" t="s">
        <v>638</v>
      </c>
      <c r="C36" s="225" t="s">
        <v>639</v>
      </c>
      <c r="D36" s="226"/>
      <c r="E36" s="70" t="s">
        <v>660</v>
      </c>
      <c r="F36" s="229" t="s">
        <v>661</v>
      </c>
      <c r="G36" s="230"/>
      <c r="H36" s="78"/>
      <c r="I36" s="71" t="s">
        <v>682</v>
      </c>
      <c r="J36" s="72" t="s">
        <v>683</v>
      </c>
      <c r="L36" s="240" t="s">
        <v>702</v>
      </c>
      <c r="M36" s="240"/>
      <c r="N36" s="240"/>
    </row>
    <row r="37" spans="1:14" ht="75.75" thickBot="1">
      <c r="A37" s="81">
        <v>10</v>
      </c>
      <c r="B37" s="70" t="s">
        <v>640</v>
      </c>
      <c r="C37" s="229" t="s">
        <v>641</v>
      </c>
      <c r="D37" s="230"/>
      <c r="E37" s="69" t="s">
        <v>662</v>
      </c>
      <c r="F37" s="225" t="s">
        <v>663</v>
      </c>
      <c r="G37" s="226"/>
      <c r="H37" s="78"/>
      <c r="I37" s="73" t="s">
        <v>684</v>
      </c>
      <c r="J37" s="74" t="s">
        <v>685</v>
      </c>
    </row>
    <row r="38" spans="1:14" ht="60.75" thickBot="1">
      <c r="A38" s="81">
        <v>11</v>
      </c>
      <c r="B38" s="69" t="s">
        <v>642</v>
      </c>
      <c r="C38" s="225" t="s">
        <v>643</v>
      </c>
      <c r="D38" s="226"/>
      <c r="E38" s="70" t="s">
        <v>664</v>
      </c>
      <c r="F38" s="229" t="s">
        <v>665</v>
      </c>
      <c r="G38" s="230"/>
      <c r="H38" s="78"/>
      <c r="I38" s="75" t="s">
        <v>686</v>
      </c>
      <c r="J38" s="76" t="s">
        <v>687</v>
      </c>
    </row>
    <row r="39" spans="1:14" ht="64.5" customHeight="1" thickBot="1">
      <c r="A39" s="81">
        <v>12</v>
      </c>
      <c r="B39" s="70" t="s">
        <v>691</v>
      </c>
      <c r="C39" s="231" t="s">
        <v>692</v>
      </c>
      <c r="D39" s="232"/>
      <c r="E39" s="69" t="s">
        <v>689</v>
      </c>
      <c r="F39" s="235" t="s">
        <v>690</v>
      </c>
      <c r="G39" s="236"/>
      <c r="H39" s="79"/>
      <c r="I39" s="237" t="s">
        <v>688</v>
      </c>
      <c r="J39" s="238"/>
    </row>
    <row r="40" spans="1:14" ht="58.5" customHeight="1"/>
    <row r="42" spans="1:14" ht="31.5" customHeight="1"/>
    <row r="43" spans="1:14" ht="31.5" customHeight="1"/>
  </sheetData>
  <mergeCells count="46">
    <mergeCell ref="L33:N33"/>
    <mergeCell ref="L34:N34"/>
    <mergeCell ref="L35:N35"/>
    <mergeCell ref="L36:N36"/>
    <mergeCell ref="L32:N32"/>
    <mergeCell ref="L31:N31"/>
    <mergeCell ref="L30:N30"/>
    <mergeCell ref="L29:N29"/>
    <mergeCell ref="L28:N28"/>
    <mergeCell ref="L27:N27"/>
    <mergeCell ref="I27:J27"/>
    <mergeCell ref="F27:G27"/>
    <mergeCell ref="I35:J35"/>
    <mergeCell ref="I39:J39"/>
    <mergeCell ref="F39:G39"/>
    <mergeCell ref="I28:J28"/>
    <mergeCell ref="F28:G28"/>
    <mergeCell ref="F33:G33"/>
    <mergeCell ref="C39:D39"/>
    <mergeCell ref="I29:J29"/>
    <mergeCell ref="I30:J30"/>
    <mergeCell ref="I31:J31"/>
    <mergeCell ref="I32:J32"/>
    <mergeCell ref="I33:J33"/>
    <mergeCell ref="I34:J34"/>
    <mergeCell ref="F34:G34"/>
    <mergeCell ref="F35:G35"/>
    <mergeCell ref="F36:G36"/>
    <mergeCell ref="F37:G37"/>
    <mergeCell ref="F38:G38"/>
    <mergeCell ref="F29:G29"/>
    <mergeCell ref="F30:G30"/>
    <mergeCell ref="F31:G31"/>
    <mergeCell ref="F32:G32"/>
    <mergeCell ref="C38:D38"/>
    <mergeCell ref="C27:D27"/>
    <mergeCell ref="C28:D28"/>
    <mergeCell ref="C29:D29"/>
    <mergeCell ref="C30:D30"/>
    <mergeCell ref="C31:D31"/>
    <mergeCell ref="C32:D32"/>
    <mergeCell ref="C33:D33"/>
    <mergeCell ref="C34:D34"/>
    <mergeCell ref="C35:D35"/>
    <mergeCell ref="C36:D36"/>
    <mergeCell ref="C37:D37"/>
  </mergeCells>
  <phoneticPr fontId="1" type="noConversion"/>
  <hyperlinks>
    <hyperlink ref="B25" r:id="rId1" location="formats" display="https://httpd.apache.org/docs/2.4/ko/mod/mod_log_config.html - formats" xr:uid="{00000000-0004-0000-0300-000000000000}"/>
    <hyperlink ref="I33" r:id="rId2" location="servername" display="https://httpd.apache.org/docs/2.4/ko/mod/core.html - servername" xr:uid="{00000000-0004-0000-0300-000001000000}"/>
    <hyperlink ref="I34" r:id="rId3" location="usecanonicalname" display="https://httpd.apache.org/docs/2.4/ko/mod/core.html - usecanonicalname" xr:uid="{00000000-0004-0000-0300-000002000000}"/>
    <hyperlink ref="F39" r:id="rId4" display="https://httpd.apache.org/docs/2.4/ko/mod/mod_logio.html" xr:uid="{00000000-0004-0000-0300-000003000000}"/>
    <hyperlink ref="C39" r:id="rId5" display="https://httpd.apache.org/docs/2.4/ko/mod/mod_logio.html" xr:uid="{00000000-0004-0000-0300-000004000000}"/>
  </hyperlinks>
  <pageMargins left="0.25" right="0.25" top="0.75" bottom="0.75" header="0.3" footer="0.3"/>
  <pageSetup paperSize="9" scale="50" orientation="landscape"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58"/>
  <sheetViews>
    <sheetView zoomScale="85" zoomScaleNormal="85" workbookViewId="0"/>
  </sheetViews>
  <sheetFormatPr defaultRowHeight="15"/>
  <cols>
    <col min="1" max="1" width="10.5703125" bestFit="1" customWidth="1"/>
    <col min="2" max="2" width="23.28515625" customWidth="1"/>
    <col min="3" max="3" width="21.28515625" bestFit="1" customWidth="1"/>
    <col min="4" max="4" width="18.42578125" bestFit="1" customWidth="1"/>
    <col min="5" max="5" width="18.85546875" customWidth="1"/>
    <col min="6" max="6" width="20.140625" customWidth="1"/>
    <col min="7" max="7" width="19.7109375" customWidth="1"/>
    <col min="8" max="8" width="17.42578125" customWidth="1"/>
    <col min="9" max="9" width="16.85546875" customWidth="1"/>
    <col min="10" max="10" width="18.5703125" customWidth="1"/>
    <col min="11" max="11" width="18.140625" customWidth="1"/>
    <col min="12" max="12" width="24.28515625" customWidth="1"/>
    <col min="13" max="13" width="25.5703125" bestFit="1" customWidth="1"/>
    <col min="14" max="14" width="81.28515625" bestFit="1" customWidth="1"/>
    <col min="15" max="15" width="13.7109375" bestFit="1" customWidth="1"/>
    <col min="16" max="16" width="13.85546875" customWidth="1"/>
    <col min="17" max="17" width="12.85546875" bestFit="1" customWidth="1"/>
    <col min="18" max="18" width="25.5703125" bestFit="1" customWidth="1"/>
  </cols>
  <sheetData>
    <row r="1" spans="1:14">
      <c r="A1" s="33" t="s">
        <v>572</v>
      </c>
    </row>
    <row r="2" spans="1:14">
      <c r="B2" s="38" t="s">
        <v>567</v>
      </c>
      <c r="C2" s="32" t="s">
        <v>568</v>
      </c>
      <c r="D2" s="32" t="s">
        <v>569</v>
      </c>
      <c r="E2" s="36" t="s">
        <v>582</v>
      </c>
      <c r="F2" s="32" t="s">
        <v>915</v>
      </c>
      <c r="G2" s="32" t="s">
        <v>414</v>
      </c>
    </row>
    <row r="3" spans="1:14">
      <c r="B3" s="85" t="s">
        <v>428</v>
      </c>
      <c r="C3" s="85" t="s">
        <v>468</v>
      </c>
      <c r="D3" s="85" t="s">
        <v>819</v>
      </c>
      <c r="E3" s="107" t="s">
        <v>432</v>
      </c>
      <c r="F3" s="85" t="s">
        <v>433</v>
      </c>
      <c r="G3" s="85" t="s">
        <v>465</v>
      </c>
    </row>
    <row r="4" spans="1:14">
      <c r="B4" s="62" t="s">
        <v>457</v>
      </c>
      <c r="C4" s="62" t="s">
        <v>451</v>
      </c>
      <c r="D4" s="62" t="s">
        <v>571</v>
      </c>
      <c r="E4" s="108" t="s">
        <v>451</v>
      </c>
      <c r="F4" s="62" t="s">
        <v>451</v>
      </c>
      <c r="G4" s="62" t="s">
        <v>453</v>
      </c>
    </row>
    <row r="5" spans="1:14">
      <c r="B5" s="85"/>
      <c r="C5" s="85">
        <v>50</v>
      </c>
      <c r="D5" s="85">
        <v>300</v>
      </c>
      <c r="E5" s="107">
        <v>100</v>
      </c>
      <c r="F5" s="85">
        <v>50</v>
      </c>
      <c r="G5" s="85"/>
      <c r="L5" s="9" t="s">
        <v>313</v>
      </c>
      <c r="M5" s="13" t="s">
        <v>343</v>
      </c>
    </row>
    <row r="6" spans="1:14">
      <c r="L6" s="9" t="s">
        <v>314</v>
      </c>
      <c r="M6" s="13" t="s">
        <v>351</v>
      </c>
    </row>
    <row r="7" spans="1:14">
      <c r="A7" s="33" t="s">
        <v>573</v>
      </c>
      <c r="F7" s="111" t="s">
        <v>914</v>
      </c>
      <c r="I7" s="241" t="s">
        <v>1157</v>
      </c>
      <c r="J7" s="241"/>
      <c r="L7" s="49" t="s">
        <v>600</v>
      </c>
      <c r="M7" s="49" t="s">
        <v>601</v>
      </c>
    </row>
    <row r="8" spans="1:14">
      <c r="B8" s="38" t="s">
        <v>595</v>
      </c>
      <c r="C8" s="60" t="s">
        <v>580</v>
      </c>
      <c r="D8" s="32" t="s">
        <v>581</v>
      </c>
      <c r="E8" s="127" t="s">
        <v>582</v>
      </c>
      <c r="F8" s="36" t="s">
        <v>576</v>
      </c>
      <c r="G8" s="32" t="s">
        <v>575</v>
      </c>
      <c r="H8" s="32" t="s">
        <v>414</v>
      </c>
      <c r="I8" s="32" t="s">
        <v>776</v>
      </c>
      <c r="J8" s="32" t="s">
        <v>753</v>
      </c>
      <c r="L8" s="9" t="s">
        <v>344</v>
      </c>
      <c r="M8" s="9" t="s">
        <v>602</v>
      </c>
      <c r="N8" t="s">
        <v>603</v>
      </c>
    </row>
    <row r="9" spans="1:14">
      <c r="B9" s="85" t="s">
        <v>428</v>
      </c>
      <c r="C9" s="85" t="s">
        <v>583</v>
      </c>
      <c r="D9" s="85" t="s">
        <v>430</v>
      </c>
      <c r="E9" s="64" t="s">
        <v>432</v>
      </c>
      <c r="F9" s="85" t="s">
        <v>431</v>
      </c>
      <c r="G9" s="85" t="s">
        <v>578</v>
      </c>
      <c r="H9" s="85" t="s">
        <v>465</v>
      </c>
      <c r="I9" s="116" t="s">
        <v>751</v>
      </c>
      <c r="J9" s="116" t="s">
        <v>754</v>
      </c>
      <c r="L9" s="9" t="s">
        <v>345</v>
      </c>
      <c r="M9" s="9" t="s">
        <v>349</v>
      </c>
    </row>
    <row r="10" spans="1:14" ht="30">
      <c r="B10" s="62" t="s">
        <v>457</v>
      </c>
      <c r="C10" s="62" t="s">
        <v>457</v>
      </c>
      <c r="D10" s="62" t="s">
        <v>451</v>
      </c>
      <c r="E10" s="62" t="s">
        <v>451</v>
      </c>
      <c r="F10" s="62" t="s">
        <v>454</v>
      </c>
      <c r="G10" s="63" t="s">
        <v>460</v>
      </c>
      <c r="H10" s="62" t="s">
        <v>453</v>
      </c>
      <c r="I10" s="62" t="s">
        <v>451</v>
      </c>
      <c r="J10" s="62" t="s">
        <v>451</v>
      </c>
      <c r="L10" s="9" t="s">
        <v>315</v>
      </c>
      <c r="M10" s="9" t="s">
        <v>348</v>
      </c>
    </row>
    <row r="11" spans="1:14">
      <c r="B11" s="63"/>
      <c r="C11" s="63"/>
      <c r="D11" s="85">
        <v>100</v>
      </c>
      <c r="E11" s="64">
        <v>100</v>
      </c>
      <c r="F11" s="63"/>
      <c r="G11" s="63"/>
      <c r="H11" s="63"/>
      <c r="I11" s="63"/>
      <c r="J11" s="63"/>
      <c r="L11" s="9" t="s">
        <v>346</v>
      </c>
      <c r="M11" s="9" t="s">
        <v>347</v>
      </c>
    </row>
    <row r="13" spans="1:14">
      <c r="A13" s="33" t="s">
        <v>574</v>
      </c>
      <c r="D13" s="31"/>
      <c r="E13" s="61" t="s">
        <v>440</v>
      </c>
      <c r="F13" s="83"/>
      <c r="G13" s="83"/>
      <c r="H13" s="83"/>
      <c r="I13" s="83"/>
      <c r="J13" s="83"/>
      <c r="K13" s="90"/>
      <c r="L13" s="90"/>
      <c r="M13" s="90"/>
    </row>
    <row r="14" spans="1:14">
      <c r="B14" s="38" t="s">
        <v>579</v>
      </c>
      <c r="C14" s="60" t="s">
        <v>596</v>
      </c>
      <c r="D14" s="32" t="s">
        <v>584</v>
      </c>
      <c r="E14" s="32" t="s">
        <v>597</v>
      </c>
      <c r="F14" s="32" t="s">
        <v>598</v>
      </c>
      <c r="G14" s="32" t="s">
        <v>599</v>
      </c>
      <c r="H14" s="32" t="s">
        <v>420</v>
      </c>
      <c r="I14" s="32" t="s">
        <v>421</v>
      </c>
      <c r="J14" s="32" t="s">
        <v>422</v>
      </c>
      <c r="K14" s="32" t="s">
        <v>837</v>
      </c>
      <c r="L14" s="32" t="s">
        <v>838</v>
      </c>
      <c r="M14" s="32" t="s">
        <v>844</v>
      </c>
    </row>
    <row r="15" spans="1:14">
      <c r="B15" s="85" t="s">
        <v>428</v>
      </c>
      <c r="C15" s="85" t="s">
        <v>583</v>
      </c>
      <c r="D15" s="85" t="s">
        <v>435</v>
      </c>
      <c r="E15" s="85" t="s">
        <v>801</v>
      </c>
      <c r="F15" s="85" t="s">
        <v>802</v>
      </c>
      <c r="G15" s="85" t="s">
        <v>803</v>
      </c>
      <c r="H15" s="85" t="s">
        <v>436</v>
      </c>
      <c r="I15" s="85" t="s">
        <v>437</v>
      </c>
      <c r="J15" s="85" t="s">
        <v>438</v>
      </c>
      <c r="K15" s="95" t="s">
        <v>845</v>
      </c>
      <c r="L15" s="95" t="s">
        <v>846</v>
      </c>
      <c r="M15" s="95" t="s">
        <v>847</v>
      </c>
    </row>
    <row r="16" spans="1:14" ht="30">
      <c r="B16" s="62" t="s">
        <v>585</v>
      </c>
      <c r="C16" s="62" t="s">
        <v>585</v>
      </c>
      <c r="D16" s="62" t="s">
        <v>571</v>
      </c>
      <c r="E16" s="96" t="s">
        <v>842</v>
      </c>
      <c r="F16" s="96" t="s">
        <v>843</v>
      </c>
      <c r="G16" s="96" t="s">
        <v>843</v>
      </c>
      <c r="H16" s="96" t="s">
        <v>843</v>
      </c>
      <c r="I16" s="96" t="s">
        <v>843</v>
      </c>
      <c r="J16" s="96" t="s">
        <v>843</v>
      </c>
      <c r="K16" s="96" t="s">
        <v>840</v>
      </c>
      <c r="L16" s="96" t="s">
        <v>841</v>
      </c>
      <c r="M16" s="96" t="s">
        <v>848</v>
      </c>
    </row>
    <row r="17" spans="1:14">
      <c r="B17" s="64"/>
      <c r="C17" s="64"/>
      <c r="D17" s="64">
        <v>1000</v>
      </c>
      <c r="E17" s="64"/>
      <c r="F17" s="65"/>
      <c r="G17" s="65"/>
      <c r="H17" s="64"/>
      <c r="I17" s="65"/>
      <c r="J17" s="65"/>
      <c r="K17" s="97" t="s">
        <v>817</v>
      </c>
      <c r="L17" s="97" t="s">
        <v>839</v>
      </c>
      <c r="M17" s="97" t="s">
        <v>849</v>
      </c>
    </row>
    <row r="19" spans="1:14">
      <c r="B19" s="61" t="s">
        <v>440</v>
      </c>
      <c r="C19" s="83"/>
      <c r="D19" s="83"/>
      <c r="E19" s="83"/>
      <c r="F19" s="83"/>
      <c r="G19" s="83"/>
      <c r="H19" s="83"/>
      <c r="I19" s="83"/>
      <c r="J19" s="83"/>
      <c r="K19" s="83"/>
      <c r="L19" s="124"/>
      <c r="M19" s="124"/>
    </row>
    <row r="20" spans="1:14">
      <c r="B20" s="32" t="s">
        <v>613</v>
      </c>
      <c r="C20" s="32" t="s">
        <v>423</v>
      </c>
      <c r="D20" s="32" t="s">
        <v>424</v>
      </c>
      <c r="E20" s="32" t="s">
        <v>425</v>
      </c>
      <c r="F20" s="32" t="s">
        <v>426</v>
      </c>
      <c r="G20" s="32" t="s">
        <v>427</v>
      </c>
      <c r="H20" s="32" t="s">
        <v>441</v>
      </c>
      <c r="I20" s="32" t="s">
        <v>442</v>
      </c>
      <c r="J20" s="32" t="s">
        <v>443</v>
      </c>
      <c r="K20" s="32" t="s">
        <v>1342</v>
      </c>
      <c r="L20" s="32" t="s">
        <v>1344</v>
      </c>
      <c r="M20" s="32" t="s">
        <v>414</v>
      </c>
      <c r="N20" s="152" t="s">
        <v>567</v>
      </c>
    </row>
    <row r="21" spans="1:14">
      <c r="B21" s="85" t="s">
        <v>618</v>
      </c>
      <c r="C21" s="85" t="s">
        <v>439</v>
      </c>
      <c r="D21" s="85" t="s">
        <v>614</v>
      </c>
      <c r="E21" s="85" t="s">
        <v>615</v>
      </c>
      <c r="F21" s="85" t="s">
        <v>616</v>
      </c>
      <c r="G21" s="85" t="s">
        <v>617</v>
      </c>
      <c r="H21" s="85" t="s">
        <v>444</v>
      </c>
      <c r="I21" s="85" t="s">
        <v>444</v>
      </c>
      <c r="J21" s="85" t="s">
        <v>444</v>
      </c>
      <c r="K21" s="95" t="s">
        <v>1343</v>
      </c>
      <c r="L21" s="95" t="s">
        <v>1342</v>
      </c>
      <c r="M21" s="85" t="s">
        <v>465</v>
      </c>
      <c r="N21" s="153" t="s">
        <v>428</v>
      </c>
    </row>
    <row r="22" spans="1:14" ht="30">
      <c r="B22" s="62" t="s">
        <v>586</v>
      </c>
      <c r="C22" s="62" t="s">
        <v>586</v>
      </c>
      <c r="D22" s="62" t="s">
        <v>586</v>
      </c>
      <c r="E22" s="62" t="s">
        <v>586</v>
      </c>
      <c r="F22" s="62" t="s">
        <v>586</v>
      </c>
      <c r="G22" s="62" t="s">
        <v>589</v>
      </c>
      <c r="H22" s="62" t="s">
        <v>586</v>
      </c>
      <c r="I22" s="62" t="s">
        <v>586</v>
      </c>
      <c r="J22" s="62" t="s">
        <v>586</v>
      </c>
      <c r="K22" s="96" t="s">
        <v>589</v>
      </c>
      <c r="L22" s="96" t="s">
        <v>586</v>
      </c>
      <c r="M22" s="62" t="s">
        <v>591</v>
      </c>
      <c r="N22" s="154" t="s">
        <v>457</v>
      </c>
    </row>
    <row r="23" spans="1:14">
      <c r="B23" s="64">
        <v>200</v>
      </c>
      <c r="C23" s="65">
        <v>40</v>
      </c>
      <c r="D23" s="64">
        <v>200</v>
      </c>
      <c r="E23" s="64">
        <v>200</v>
      </c>
      <c r="F23" s="65">
        <v>10</v>
      </c>
      <c r="G23" s="64"/>
      <c r="H23" s="65">
        <v>200</v>
      </c>
      <c r="I23" s="64">
        <v>200</v>
      </c>
      <c r="J23" s="65">
        <v>200</v>
      </c>
      <c r="K23" s="160"/>
      <c r="L23" s="97">
        <v>10</v>
      </c>
      <c r="M23" s="64"/>
      <c r="N23" s="153" t="s">
        <v>1284</v>
      </c>
    </row>
    <row r="25" spans="1:14">
      <c r="B25" s="7" t="s">
        <v>619</v>
      </c>
      <c r="F25" s="7" t="s">
        <v>916</v>
      </c>
    </row>
    <row r="26" spans="1:14" ht="15.75" thickBot="1">
      <c r="F26" s="7" t="s">
        <v>1156</v>
      </c>
    </row>
    <row r="27" spans="1:14" ht="15.75" thickBot="1">
      <c r="B27" s="80" t="s">
        <v>620</v>
      </c>
      <c r="C27" s="227" t="s">
        <v>621</v>
      </c>
      <c r="D27" s="228"/>
      <c r="E27" s="80" t="s">
        <v>620</v>
      </c>
      <c r="F27" s="227" t="s">
        <v>621</v>
      </c>
      <c r="G27" s="228"/>
      <c r="H27" s="80" t="s">
        <v>620</v>
      </c>
      <c r="I27" s="227" t="s">
        <v>621</v>
      </c>
      <c r="J27" s="228"/>
      <c r="L27" s="239" t="s">
        <v>693</v>
      </c>
      <c r="M27" s="239"/>
      <c r="N27" s="239"/>
    </row>
    <row r="28" spans="1:14" ht="49.5" customHeight="1" thickBot="1">
      <c r="A28" s="81">
        <v>1</v>
      </c>
      <c r="B28" s="69" t="s">
        <v>622</v>
      </c>
      <c r="C28" s="225" t="s">
        <v>623</v>
      </c>
      <c r="D28" s="226"/>
      <c r="E28" s="70" t="s">
        <v>644</v>
      </c>
      <c r="F28" s="229" t="s">
        <v>1169</v>
      </c>
      <c r="G28" s="230"/>
      <c r="H28" s="69" t="s">
        <v>666</v>
      </c>
      <c r="I28" s="225" t="s">
        <v>667</v>
      </c>
      <c r="J28" s="226"/>
      <c r="L28" s="240" t="s">
        <v>694</v>
      </c>
      <c r="M28" s="240"/>
      <c r="N28" s="240"/>
    </row>
    <row r="29" spans="1:14" ht="31.5" thickBot="1">
      <c r="A29" s="81">
        <v>2</v>
      </c>
      <c r="B29" s="70" t="s">
        <v>624</v>
      </c>
      <c r="C29" s="229" t="s">
        <v>625</v>
      </c>
      <c r="D29" s="230"/>
      <c r="E29" s="69" t="s">
        <v>646</v>
      </c>
      <c r="F29" s="225" t="s">
        <v>647</v>
      </c>
      <c r="G29" s="226"/>
      <c r="H29" s="70" t="s">
        <v>668</v>
      </c>
      <c r="I29" s="233" t="s">
        <v>669</v>
      </c>
      <c r="J29" s="234"/>
      <c r="L29" s="239" t="s">
        <v>695</v>
      </c>
      <c r="M29" s="239"/>
      <c r="N29" s="239"/>
    </row>
    <row r="30" spans="1:14" ht="15.75" thickBot="1">
      <c r="A30" s="81">
        <v>3</v>
      </c>
      <c r="B30" s="69" t="s">
        <v>626</v>
      </c>
      <c r="C30" s="225" t="s">
        <v>627</v>
      </c>
      <c r="D30" s="226"/>
      <c r="E30" s="70" t="s">
        <v>648</v>
      </c>
      <c r="F30" s="229" t="s">
        <v>649</v>
      </c>
      <c r="G30" s="230"/>
      <c r="H30" s="69" t="s">
        <v>670</v>
      </c>
      <c r="I30" s="225" t="s">
        <v>671</v>
      </c>
      <c r="J30" s="226"/>
      <c r="L30" s="240" t="s">
        <v>696</v>
      </c>
      <c r="M30" s="240"/>
      <c r="N30" s="240"/>
    </row>
    <row r="31" spans="1:14" ht="17.25" customHeight="1" thickBot="1">
      <c r="A31" s="81">
        <v>4</v>
      </c>
      <c r="B31" s="70" t="s">
        <v>628</v>
      </c>
      <c r="C31" s="229" t="s">
        <v>629</v>
      </c>
      <c r="D31" s="230"/>
      <c r="E31" s="69" t="s">
        <v>650</v>
      </c>
      <c r="F31" s="225" t="s">
        <v>651</v>
      </c>
      <c r="G31" s="226"/>
      <c r="H31" s="70" t="s">
        <v>672</v>
      </c>
      <c r="I31" s="229" t="s">
        <v>673</v>
      </c>
      <c r="J31" s="230"/>
      <c r="L31" s="239" t="s">
        <v>697</v>
      </c>
      <c r="M31" s="239"/>
      <c r="N31" s="239"/>
    </row>
    <row r="32" spans="1:14" ht="43.5" customHeight="1" thickBot="1">
      <c r="A32" s="81">
        <v>5</v>
      </c>
      <c r="B32" s="69" t="s">
        <v>630</v>
      </c>
      <c r="C32" s="225" t="s">
        <v>631</v>
      </c>
      <c r="D32" s="226"/>
      <c r="E32" s="70" t="s">
        <v>652</v>
      </c>
      <c r="F32" s="229" t="s">
        <v>653</v>
      </c>
      <c r="G32" s="230"/>
      <c r="H32" s="69" t="s">
        <v>674</v>
      </c>
      <c r="I32" s="225" t="s">
        <v>675</v>
      </c>
      <c r="J32" s="226"/>
      <c r="L32" s="240" t="s">
        <v>698</v>
      </c>
      <c r="M32" s="240"/>
      <c r="N32" s="240"/>
    </row>
    <row r="33" spans="1:14" ht="31.5" customHeight="1" thickBot="1">
      <c r="A33" s="81">
        <v>6</v>
      </c>
      <c r="B33" s="70" t="s">
        <v>632</v>
      </c>
      <c r="C33" s="229" t="s">
        <v>633</v>
      </c>
      <c r="D33" s="230"/>
      <c r="E33" s="69" t="s">
        <v>654</v>
      </c>
      <c r="F33" s="225" t="s">
        <v>655</v>
      </c>
      <c r="G33" s="226"/>
      <c r="H33" s="70" t="s">
        <v>676</v>
      </c>
      <c r="I33" s="231" t="s">
        <v>677</v>
      </c>
      <c r="J33" s="232"/>
      <c r="L33" s="239" t="s">
        <v>699</v>
      </c>
      <c r="M33" s="239"/>
      <c r="N33" s="239"/>
    </row>
    <row r="34" spans="1:14" ht="28.5" customHeight="1" thickBot="1">
      <c r="A34" s="81">
        <v>7</v>
      </c>
      <c r="B34" s="69" t="s">
        <v>634</v>
      </c>
      <c r="C34" s="225" t="s">
        <v>635</v>
      </c>
      <c r="D34" s="226"/>
      <c r="E34" s="70" t="s">
        <v>656</v>
      </c>
      <c r="F34" s="229" t="s">
        <v>657</v>
      </c>
      <c r="G34" s="230"/>
      <c r="H34" s="69" t="s">
        <v>678</v>
      </c>
      <c r="I34" s="235" t="s">
        <v>679</v>
      </c>
      <c r="J34" s="236"/>
      <c r="L34" s="240" t="s">
        <v>700</v>
      </c>
      <c r="M34" s="240"/>
      <c r="N34" s="240"/>
    </row>
    <row r="35" spans="1:14" ht="31.5" customHeight="1" thickBot="1">
      <c r="A35" s="81">
        <v>8</v>
      </c>
      <c r="B35" s="70" t="s">
        <v>636</v>
      </c>
      <c r="C35" s="229" t="s">
        <v>637</v>
      </c>
      <c r="D35" s="230"/>
      <c r="E35" s="69" t="s">
        <v>658</v>
      </c>
      <c r="F35" s="225" t="s">
        <v>659</v>
      </c>
      <c r="G35" s="226"/>
      <c r="H35" s="77" t="s">
        <v>680</v>
      </c>
      <c r="I35" s="229" t="s">
        <v>681</v>
      </c>
      <c r="J35" s="230"/>
      <c r="L35" s="239" t="s">
        <v>701</v>
      </c>
      <c r="M35" s="239"/>
      <c r="N35" s="239"/>
    </row>
    <row r="36" spans="1:14" ht="45.75" thickBot="1">
      <c r="A36" s="81">
        <v>9</v>
      </c>
      <c r="B36" s="69" t="s">
        <v>638</v>
      </c>
      <c r="C36" s="225" t="s">
        <v>639</v>
      </c>
      <c r="D36" s="226"/>
      <c r="E36" s="70" t="s">
        <v>660</v>
      </c>
      <c r="F36" s="229" t="s">
        <v>661</v>
      </c>
      <c r="G36" s="230"/>
      <c r="H36" s="78"/>
      <c r="I36" s="71" t="s">
        <v>682</v>
      </c>
      <c r="J36" s="72" t="s">
        <v>683</v>
      </c>
      <c r="L36" s="240" t="s">
        <v>702</v>
      </c>
      <c r="M36" s="240"/>
      <c r="N36" s="240"/>
    </row>
    <row r="37" spans="1:14" ht="75.75" thickBot="1">
      <c r="A37" s="81">
        <v>10</v>
      </c>
      <c r="B37" s="70" t="s">
        <v>640</v>
      </c>
      <c r="C37" s="229" t="s">
        <v>641</v>
      </c>
      <c r="D37" s="230"/>
      <c r="E37" s="69" t="s">
        <v>662</v>
      </c>
      <c r="F37" s="225" t="s">
        <v>663</v>
      </c>
      <c r="G37" s="226"/>
      <c r="H37" s="78"/>
      <c r="I37" s="73" t="s">
        <v>684</v>
      </c>
      <c r="J37" s="74" t="s">
        <v>685</v>
      </c>
    </row>
    <row r="38" spans="1:14" ht="30.75" thickBot="1">
      <c r="A38" s="81">
        <v>11</v>
      </c>
      <c r="B38" s="69" t="s">
        <v>642</v>
      </c>
      <c r="C38" s="225" t="s">
        <v>643</v>
      </c>
      <c r="D38" s="226"/>
      <c r="E38" s="70" t="s">
        <v>664</v>
      </c>
      <c r="F38" s="229" t="s">
        <v>665</v>
      </c>
      <c r="G38" s="230"/>
      <c r="H38" s="78"/>
      <c r="I38" s="75" t="s">
        <v>686</v>
      </c>
      <c r="J38" s="76" t="s">
        <v>687</v>
      </c>
    </row>
    <row r="39" spans="1:14" ht="64.5" customHeight="1" thickBot="1">
      <c r="A39" s="81">
        <v>12</v>
      </c>
      <c r="B39" s="70" t="s">
        <v>691</v>
      </c>
      <c r="C39" s="231" t="s">
        <v>692</v>
      </c>
      <c r="D39" s="232"/>
      <c r="E39" s="69" t="s">
        <v>689</v>
      </c>
      <c r="F39" s="235" t="s">
        <v>690</v>
      </c>
      <c r="G39" s="236"/>
      <c r="H39" s="79"/>
      <c r="I39" s="237" t="s">
        <v>688</v>
      </c>
      <c r="J39" s="238"/>
    </row>
    <row r="40" spans="1:14" ht="58.5" customHeight="1"/>
    <row r="41" spans="1:14">
      <c r="A41" s="33" t="s">
        <v>773</v>
      </c>
      <c r="D41" t="s">
        <v>759</v>
      </c>
    </row>
    <row r="42" spans="1:14">
      <c r="B42" s="38" t="s">
        <v>765</v>
      </c>
      <c r="C42" s="60" t="s">
        <v>776</v>
      </c>
      <c r="D42" s="32" t="s">
        <v>753</v>
      </c>
      <c r="E42" s="32" t="s">
        <v>766</v>
      </c>
      <c r="F42" s="32" t="s">
        <v>755</v>
      </c>
      <c r="G42" s="32" t="s">
        <v>414</v>
      </c>
      <c r="L42" s="84" t="s">
        <v>0</v>
      </c>
      <c r="M42" s="84" t="s">
        <v>307</v>
      </c>
      <c r="N42" s="84" t="s">
        <v>263</v>
      </c>
    </row>
    <row r="43" spans="1:14">
      <c r="B43" s="85" t="s">
        <v>428</v>
      </c>
      <c r="C43" s="85" t="s">
        <v>751</v>
      </c>
      <c r="D43" s="85" t="s">
        <v>754</v>
      </c>
      <c r="E43" s="85" t="s">
        <v>752</v>
      </c>
      <c r="F43" s="85" t="s">
        <v>756</v>
      </c>
      <c r="G43" s="85" t="s">
        <v>465</v>
      </c>
      <c r="L43" s="19" t="s">
        <v>1</v>
      </c>
      <c r="M43" s="85">
        <v>1</v>
      </c>
      <c r="N43" s="19" t="s">
        <v>272</v>
      </c>
    </row>
    <row r="44" spans="1:14">
      <c r="B44" s="62" t="s">
        <v>457</v>
      </c>
      <c r="C44" s="62" t="s">
        <v>451</v>
      </c>
      <c r="D44" s="62" t="s">
        <v>451</v>
      </c>
      <c r="E44" s="62" t="s">
        <v>451</v>
      </c>
      <c r="F44" s="62" t="s">
        <v>451</v>
      </c>
      <c r="G44" s="62" t="s">
        <v>453</v>
      </c>
      <c r="L44" s="19" t="s">
        <v>2</v>
      </c>
      <c r="M44" s="85">
        <v>1</v>
      </c>
      <c r="N44" s="19" t="s">
        <v>264</v>
      </c>
    </row>
    <row r="45" spans="1:14">
      <c r="B45" s="63"/>
      <c r="C45" s="63"/>
      <c r="D45" s="85"/>
      <c r="E45" s="63"/>
      <c r="F45" s="85"/>
      <c r="G45" s="63"/>
      <c r="L45" s="19" t="s">
        <v>6</v>
      </c>
      <c r="M45" s="85">
        <v>1</v>
      </c>
      <c r="N45" s="21" t="s">
        <v>268</v>
      </c>
    </row>
    <row r="46" spans="1:14" ht="45">
      <c r="C46" t="s">
        <v>764</v>
      </c>
      <c r="D46" t="s">
        <v>781</v>
      </c>
      <c r="E46" t="s">
        <v>758</v>
      </c>
      <c r="L46" s="18" t="s">
        <v>271</v>
      </c>
      <c r="M46" s="86">
        <v>1</v>
      </c>
      <c r="N46" s="23" t="s">
        <v>265</v>
      </c>
    </row>
    <row r="47" spans="1:14">
      <c r="A47" s="33" t="s">
        <v>774</v>
      </c>
      <c r="L47" s="19" t="s">
        <v>266</v>
      </c>
      <c r="M47" s="85">
        <v>2</v>
      </c>
      <c r="N47" s="21" t="s">
        <v>267</v>
      </c>
    </row>
    <row r="48" spans="1:14">
      <c r="B48" s="38" t="s">
        <v>775</v>
      </c>
      <c r="C48" s="60" t="s">
        <v>777</v>
      </c>
      <c r="D48" s="87" t="s">
        <v>760</v>
      </c>
      <c r="E48" s="32" t="s">
        <v>762</v>
      </c>
      <c r="F48" s="32" t="s">
        <v>414</v>
      </c>
      <c r="L48" s="19" t="s">
        <v>269</v>
      </c>
      <c r="M48" s="85">
        <v>2</v>
      </c>
      <c r="N48" s="24" t="s">
        <v>270</v>
      </c>
    </row>
    <row r="49" spans="2:14">
      <c r="B49" s="85" t="s">
        <v>428</v>
      </c>
      <c r="C49" s="116" t="s">
        <v>751</v>
      </c>
      <c r="D49" s="85" t="s">
        <v>761</v>
      </c>
      <c r="E49" s="85" t="s">
        <v>763</v>
      </c>
      <c r="F49" s="85" t="s">
        <v>465</v>
      </c>
      <c r="L49" s="19" t="s">
        <v>3</v>
      </c>
      <c r="M49" s="85">
        <v>2</v>
      </c>
      <c r="N49" s="19"/>
    </row>
    <row r="50" spans="2:14">
      <c r="B50" s="62" t="s">
        <v>457</v>
      </c>
      <c r="C50" s="62" t="s">
        <v>451</v>
      </c>
      <c r="D50" s="62" t="s">
        <v>451</v>
      </c>
      <c r="E50" s="62" t="s">
        <v>451</v>
      </c>
      <c r="F50" s="62" t="s">
        <v>453</v>
      </c>
      <c r="L50" s="19" t="s">
        <v>4</v>
      </c>
      <c r="M50" s="85">
        <v>2</v>
      </c>
      <c r="N50" s="19"/>
    </row>
    <row r="51" spans="2:14">
      <c r="B51" s="63"/>
      <c r="C51" s="63"/>
      <c r="D51" s="63"/>
      <c r="E51" s="85"/>
      <c r="F51" s="63"/>
    </row>
    <row r="52" spans="2:14">
      <c r="C52" t="s">
        <v>767</v>
      </c>
      <c r="D52" t="s">
        <v>779</v>
      </c>
      <c r="E52" t="s">
        <v>639</v>
      </c>
      <c r="F52" t="s">
        <v>778</v>
      </c>
      <c r="G52" s="89" t="s">
        <v>782</v>
      </c>
      <c r="H52" s="89" t="s">
        <v>757</v>
      </c>
      <c r="I52" s="89" t="s">
        <v>783</v>
      </c>
      <c r="J52" s="89" t="s">
        <v>784</v>
      </c>
    </row>
    <row r="53" spans="2:14">
      <c r="D53" t="s">
        <v>780</v>
      </c>
      <c r="E53" t="s">
        <v>641</v>
      </c>
      <c r="F53" t="s">
        <v>640</v>
      </c>
    </row>
    <row r="54" spans="2:14">
      <c r="C54" t="s">
        <v>768</v>
      </c>
    </row>
    <row r="55" spans="2:14">
      <c r="C55" t="s">
        <v>769</v>
      </c>
    </row>
    <row r="56" spans="2:14">
      <c r="C56" t="s">
        <v>770</v>
      </c>
    </row>
    <row r="57" spans="2:14">
      <c r="C57" t="s">
        <v>771</v>
      </c>
    </row>
    <row r="58" spans="2:14">
      <c r="C58" s="88" t="s">
        <v>772</v>
      </c>
    </row>
  </sheetData>
  <mergeCells count="47">
    <mergeCell ref="I7:J7"/>
    <mergeCell ref="C27:D27"/>
    <mergeCell ref="F27:G27"/>
    <mergeCell ref="I27:J27"/>
    <mergeCell ref="L27:N27"/>
    <mergeCell ref="C28:D28"/>
    <mergeCell ref="F28:G28"/>
    <mergeCell ref="I28:J28"/>
    <mergeCell ref="L28:N28"/>
    <mergeCell ref="C29:D29"/>
    <mergeCell ref="F29:G29"/>
    <mergeCell ref="I29:J29"/>
    <mergeCell ref="L29:N29"/>
    <mergeCell ref="C30:D30"/>
    <mergeCell ref="F30:G30"/>
    <mergeCell ref="I30:J30"/>
    <mergeCell ref="L30:N30"/>
    <mergeCell ref="C31:D31"/>
    <mergeCell ref="F31:G31"/>
    <mergeCell ref="I31:J31"/>
    <mergeCell ref="L31:N31"/>
    <mergeCell ref="C32:D32"/>
    <mergeCell ref="F32:G32"/>
    <mergeCell ref="I32:J32"/>
    <mergeCell ref="L32:N32"/>
    <mergeCell ref="C33:D33"/>
    <mergeCell ref="F33:G33"/>
    <mergeCell ref="I33:J33"/>
    <mergeCell ref="L33:N33"/>
    <mergeCell ref="C34:D34"/>
    <mergeCell ref="F34:G34"/>
    <mergeCell ref="I34:J34"/>
    <mergeCell ref="L34:N34"/>
    <mergeCell ref="C35:D35"/>
    <mergeCell ref="F35:G35"/>
    <mergeCell ref="I35:J35"/>
    <mergeCell ref="L35:N35"/>
    <mergeCell ref="C36:D36"/>
    <mergeCell ref="F36:G36"/>
    <mergeCell ref="L36:N36"/>
    <mergeCell ref="I39:J39"/>
    <mergeCell ref="C37:D37"/>
    <mergeCell ref="F37:G37"/>
    <mergeCell ref="C38:D38"/>
    <mergeCell ref="F38:G38"/>
    <mergeCell ref="C39:D39"/>
    <mergeCell ref="F39:G39"/>
  </mergeCells>
  <phoneticPr fontId="1" type="noConversion"/>
  <hyperlinks>
    <hyperlink ref="B25" r:id="rId1" location="formats" display="https://httpd.apache.org/docs/2.4/ko/mod/mod_log_config.html - formats" xr:uid="{00000000-0004-0000-0400-000000000000}"/>
    <hyperlink ref="I33" r:id="rId2" location="servername" display="https://httpd.apache.org/docs/2.4/ko/mod/core.html - servername" xr:uid="{00000000-0004-0000-0400-000001000000}"/>
    <hyperlink ref="I34" r:id="rId3" location="usecanonicalname" display="https://httpd.apache.org/docs/2.4/ko/mod/core.html - usecanonicalname" xr:uid="{00000000-0004-0000-0400-000002000000}"/>
    <hyperlink ref="F39" r:id="rId4" display="https://httpd.apache.org/docs/2.4/ko/mod/mod_logio.html" xr:uid="{00000000-0004-0000-0400-000003000000}"/>
    <hyperlink ref="C39" r:id="rId5" display="https://httpd.apache.org/docs/2.4/ko/mod/mod_logio.html" xr:uid="{00000000-0004-0000-0400-000004000000}"/>
    <hyperlink ref="N45" r:id="rId6" xr:uid="{00000000-0004-0000-0400-000005000000}"/>
    <hyperlink ref="N47" r:id="rId7" xr:uid="{00000000-0004-0000-0400-000006000000}"/>
    <hyperlink ref="F25" r:id="rId8" location="get_queryset" display="http://www.cdrf.co/3.1/rest_framework.viewsets/ModelViewSet.html - get_queryset" xr:uid="{18731035-636B-4224-A441-F48B2BAB6B00}"/>
    <hyperlink ref="F26" r:id="rId9" xr:uid="{CA52AF34-938E-473A-9B54-35DD9A569DF0}"/>
  </hyperlinks>
  <pageMargins left="0.25" right="0.25" top="0.75" bottom="0.75" header="0.3" footer="0.3"/>
  <pageSetup paperSize="9" scale="50" orientation="landscape" r:id="rId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DED6F-D7A7-4FEB-B10F-68774A44DF29}">
  <sheetPr>
    <pageSetUpPr fitToPage="1"/>
  </sheetPr>
  <dimension ref="A1:R78"/>
  <sheetViews>
    <sheetView zoomScale="70" zoomScaleNormal="70" workbookViewId="0">
      <selection activeCell="R21" sqref="R21"/>
    </sheetView>
  </sheetViews>
  <sheetFormatPr defaultRowHeight="15"/>
  <cols>
    <col min="1" max="1" width="16.7109375" bestFit="1" customWidth="1"/>
    <col min="2" max="2" width="23.28515625" customWidth="1"/>
    <col min="3" max="3" width="21.28515625" bestFit="1" customWidth="1"/>
    <col min="4" max="4" width="18.42578125" bestFit="1" customWidth="1"/>
    <col min="5" max="5" width="18.85546875" customWidth="1"/>
    <col min="6" max="6" width="20.140625" customWidth="1"/>
    <col min="7" max="7" width="19.7109375" customWidth="1"/>
    <col min="8" max="8" width="17.42578125" customWidth="1"/>
    <col min="9" max="9" width="16.85546875" customWidth="1"/>
    <col min="10" max="10" width="18.5703125" customWidth="1"/>
    <col min="11" max="11" width="18.140625" customWidth="1"/>
    <col min="12" max="12" width="23.28515625" customWidth="1"/>
    <col min="13" max="13" width="25.28515625" bestFit="1" customWidth="1"/>
    <col min="14" max="14" width="16.28515625" customWidth="1"/>
    <col min="15" max="15" width="17.28515625" customWidth="1"/>
    <col min="16" max="16" width="13.85546875" customWidth="1"/>
    <col min="17" max="17" width="12.85546875" bestFit="1" customWidth="1"/>
    <col min="18" max="18" width="63.7109375" customWidth="1"/>
  </cols>
  <sheetData>
    <row r="1" spans="1:18">
      <c r="A1" s="33" t="s">
        <v>572</v>
      </c>
    </row>
    <row r="2" spans="1:18">
      <c r="B2" s="38" t="s">
        <v>567</v>
      </c>
      <c r="C2" s="32" t="s">
        <v>568</v>
      </c>
      <c r="D2" s="32" t="s">
        <v>569</v>
      </c>
      <c r="E2" s="36" t="s">
        <v>582</v>
      </c>
      <c r="F2" s="32" t="s">
        <v>915</v>
      </c>
      <c r="G2" s="32" t="s">
        <v>414</v>
      </c>
    </row>
    <row r="3" spans="1:18">
      <c r="B3" s="176" t="s">
        <v>428</v>
      </c>
      <c r="C3" s="176" t="s">
        <v>468</v>
      </c>
      <c r="D3" s="176" t="s">
        <v>819</v>
      </c>
      <c r="E3" s="107" t="s">
        <v>432</v>
      </c>
      <c r="F3" s="176" t="s">
        <v>433</v>
      </c>
      <c r="G3" s="176" t="s">
        <v>465</v>
      </c>
    </row>
    <row r="4" spans="1:18">
      <c r="B4" s="62" t="s">
        <v>457</v>
      </c>
      <c r="C4" s="62" t="s">
        <v>451</v>
      </c>
      <c r="D4" s="62" t="s">
        <v>571</v>
      </c>
      <c r="E4" s="108" t="s">
        <v>451</v>
      </c>
      <c r="F4" s="62" t="s">
        <v>451</v>
      </c>
      <c r="G4" s="62" t="s">
        <v>453</v>
      </c>
    </row>
    <row r="5" spans="1:18">
      <c r="B5" s="176"/>
      <c r="C5" s="176">
        <v>50</v>
      </c>
      <c r="D5" s="176">
        <v>300</v>
      </c>
      <c r="E5" s="107">
        <v>100</v>
      </c>
      <c r="F5" s="176">
        <v>50</v>
      </c>
      <c r="G5" s="176"/>
    </row>
    <row r="6" spans="1:18">
      <c r="N6" t="s">
        <v>1493</v>
      </c>
      <c r="O6" s="183">
        <v>44350</v>
      </c>
    </row>
    <row r="7" spans="1:18">
      <c r="A7" s="33" t="s">
        <v>573</v>
      </c>
      <c r="F7" s="111" t="s">
        <v>914</v>
      </c>
      <c r="I7" s="241" t="s">
        <v>1157</v>
      </c>
      <c r="J7" s="241"/>
      <c r="K7" s="242" t="s">
        <v>1485</v>
      </c>
      <c r="L7" s="242"/>
      <c r="N7" s="109" t="s">
        <v>1490</v>
      </c>
      <c r="O7" s="188" t="s">
        <v>753</v>
      </c>
    </row>
    <row r="8" spans="1:18">
      <c r="B8" s="38" t="s">
        <v>595</v>
      </c>
      <c r="C8" s="60" t="s">
        <v>580</v>
      </c>
      <c r="D8" s="32" t="s">
        <v>581</v>
      </c>
      <c r="E8" s="127" t="s">
        <v>582</v>
      </c>
      <c r="F8" s="36" t="s">
        <v>576</v>
      </c>
      <c r="G8" s="32" t="s">
        <v>575</v>
      </c>
      <c r="H8" s="32" t="s">
        <v>414</v>
      </c>
      <c r="I8" s="32" t="s">
        <v>776</v>
      </c>
      <c r="J8" s="32" t="s">
        <v>753</v>
      </c>
      <c r="K8" s="32" t="s">
        <v>1486</v>
      </c>
      <c r="L8" s="32" t="s">
        <v>1487</v>
      </c>
      <c r="N8" s="206" t="s">
        <v>1491</v>
      </c>
      <c r="O8" s="223" t="s">
        <v>1494</v>
      </c>
      <c r="P8" s="240"/>
      <c r="Q8" s="240"/>
      <c r="R8" s="240"/>
    </row>
    <row r="9" spans="1:18">
      <c r="B9" s="176" t="s">
        <v>428</v>
      </c>
      <c r="C9" s="176" t="s">
        <v>583</v>
      </c>
      <c r="D9" s="176" t="s">
        <v>430</v>
      </c>
      <c r="E9" s="64" t="s">
        <v>432</v>
      </c>
      <c r="F9" s="176" t="s">
        <v>431</v>
      </c>
      <c r="G9" s="176" t="s">
        <v>578</v>
      </c>
      <c r="H9" s="176" t="s">
        <v>465</v>
      </c>
      <c r="I9" s="176" t="s">
        <v>751</v>
      </c>
      <c r="J9" s="176" t="s">
        <v>754</v>
      </c>
      <c r="K9" s="187" t="s">
        <v>1488</v>
      </c>
      <c r="L9" s="187" t="s">
        <v>1489</v>
      </c>
      <c r="O9" s="240"/>
      <c r="P9" s="240"/>
      <c r="Q9" s="240"/>
      <c r="R9" s="240"/>
    </row>
    <row r="10" spans="1:18" ht="30">
      <c r="B10" s="62" t="s">
        <v>457</v>
      </c>
      <c r="C10" s="62" t="s">
        <v>457</v>
      </c>
      <c r="D10" s="62" t="s">
        <v>451</v>
      </c>
      <c r="E10" s="62" t="s">
        <v>451</v>
      </c>
      <c r="F10" s="62" t="s">
        <v>454</v>
      </c>
      <c r="G10" s="63" t="s">
        <v>460</v>
      </c>
      <c r="H10" s="62" t="s">
        <v>453</v>
      </c>
      <c r="I10" s="62" t="s">
        <v>451</v>
      </c>
      <c r="J10" s="62" t="s">
        <v>451</v>
      </c>
      <c r="K10" s="62" t="s">
        <v>451</v>
      </c>
      <c r="L10" s="62" t="s">
        <v>451</v>
      </c>
      <c r="O10" s="240"/>
      <c r="P10" s="240"/>
      <c r="Q10" s="240"/>
      <c r="R10" s="240"/>
    </row>
    <row r="11" spans="1:18">
      <c r="B11" s="63"/>
      <c r="C11" s="63"/>
      <c r="D11" s="176">
        <v>100</v>
      </c>
      <c r="E11" s="64">
        <v>100</v>
      </c>
      <c r="F11" s="63"/>
      <c r="G11" s="63"/>
      <c r="H11" s="63"/>
      <c r="I11" s="63"/>
      <c r="J11" s="63"/>
      <c r="K11" s="63"/>
      <c r="L11" s="63"/>
      <c r="O11" s="240"/>
      <c r="P11" s="240"/>
      <c r="Q11" s="240"/>
      <c r="R11" s="240"/>
    </row>
    <row r="12" spans="1:18" ht="37.5" customHeight="1">
      <c r="O12" s="240"/>
      <c r="P12" s="240"/>
      <c r="Q12" s="240"/>
      <c r="R12" s="240"/>
    </row>
    <row r="13" spans="1:18">
      <c r="A13" s="33" t="s">
        <v>574</v>
      </c>
      <c r="D13" s="31"/>
      <c r="E13" s="61" t="s">
        <v>440</v>
      </c>
      <c r="F13" s="173"/>
      <c r="G13" s="173"/>
      <c r="H13" s="173"/>
      <c r="I13" s="173"/>
      <c r="J13" s="173"/>
      <c r="K13" s="173"/>
      <c r="L13" s="173"/>
      <c r="M13" s="173"/>
    </row>
    <row r="14" spans="1:18">
      <c r="B14" s="38" t="s">
        <v>579</v>
      </c>
      <c r="C14" s="60" t="s">
        <v>596</v>
      </c>
      <c r="D14" s="32" t="s">
        <v>584</v>
      </c>
      <c r="E14" s="32" t="s">
        <v>597</v>
      </c>
      <c r="F14" s="32" t="s">
        <v>598</v>
      </c>
      <c r="G14" s="32" t="s">
        <v>599</v>
      </c>
      <c r="H14" s="32" t="s">
        <v>420</v>
      </c>
      <c r="I14" s="32" t="s">
        <v>421</v>
      </c>
      <c r="J14" s="32" t="s">
        <v>422</v>
      </c>
      <c r="K14" s="32" t="s">
        <v>837</v>
      </c>
      <c r="L14" s="32" t="s">
        <v>838</v>
      </c>
      <c r="M14" s="32" t="s">
        <v>844</v>
      </c>
    </row>
    <row r="15" spans="1:18">
      <c r="B15" s="176" t="s">
        <v>428</v>
      </c>
      <c r="C15" s="176" t="s">
        <v>583</v>
      </c>
      <c r="D15" s="176" t="s">
        <v>435</v>
      </c>
      <c r="E15" s="176" t="s">
        <v>801</v>
      </c>
      <c r="F15" s="176" t="s">
        <v>802</v>
      </c>
      <c r="G15" s="176" t="s">
        <v>803</v>
      </c>
      <c r="H15" s="176" t="s">
        <v>436</v>
      </c>
      <c r="I15" s="176" t="s">
        <v>437</v>
      </c>
      <c r="J15" s="176" t="s">
        <v>438</v>
      </c>
      <c r="K15" s="95" t="s">
        <v>845</v>
      </c>
      <c r="L15" s="95" t="s">
        <v>846</v>
      </c>
      <c r="M15" s="95" t="s">
        <v>847</v>
      </c>
    </row>
    <row r="16" spans="1:18" ht="30">
      <c r="B16" s="62" t="s">
        <v>585</v>
      </c>
      <c r="C16" s="62" t="s">
        <v>585</v>
      </c>
      <c r="D16" s="62" t="s">
        <v>571</v>
      </c>
      <c r="E16" s="96" t="s">
        <v>842</v>
      </c>
      <c r="F16" s="96" t="s">
        <v>843</v>
      </c>
      <c r="G16" s="96" t="s">
        <v>843</v>
      </c>
      <c r="H16" s="96" t="s">
        <v>843</v>
      </c>
      <c r="I16" s="96" t="s">
        <v>843</v>
      </c>
      <c r="J16" s="96" t="s">
        <v>843</v>
      </c>
      <c r="K16" s="96" t="s">
        <v>840</v>
      </c>
      <c r="L16" s="96" t="s">
        <v>841</v>
      </c>
      <c r="M16" s="96" t="s">
        <v>848</v>
      </c>
    </row>
    <row r="17" spans="1:17">
      <c r="B17" s="64"/>
      <c r="C17" s="64"/>
      <c r="D17" s="64">
        <v>1000</v>
      </c>
      <c r="E17" s="64"/>
      <c r="F17" s="65"/>
      <c r="G17" s="65"/>
      <c r="H17" s="64"/>
      <c r="I17" s="65"/>
      <c r="J17" s="65"/>
      <c r="K17" s="97" t="s">
        <v>817</v>
      </c>
      <c r="L17" s="97" t="s">
        <v>839</v>
      </c>
      <c r="M17" s="97" t="s">
        <v>849</v>
      </c>
    </row>
    <row r="19" spans="1:17">
      <c r="B19" s="61" t="s">
        <v>440</v>
      </c>
      <c r="C19" s="173"/>
      <c r="D19" s="173"/>
      <c r="E19" s="173"/>
      <c r="F19" s="173"/>
      <c r="G19" s="173"/>
      <c r="H19" s="173"/>
      <c r="I19" s="173"/>
      <c r="J19" s="173"/>
      <c r="K19" s="173"/>
      <c r="L19" s="173"/>
      <c r="M19" s="173"/>
    </row>
    <row r="20" spans="1:17">
      <c r="B20" s="32" t="s">
        <v>613</v>
      </c>
      <c r="C20" s="32" t="s">
        <v>423</v>
      </c>
      <c r="D20" s="32" t="s">
        <v>424</v>
      </c>
      <c r="E20" s="32" t="s">
        <v>425</v>
      </c>
      <c r="F20" s="32" t="s">
        <v>426</v>
      </c>
      <c r="G20" s="32" t="s">
        <v>427</v>
      </c>
      <c r="H20" s="32" t="s">
        <v>441</v>
      </c>
      <c r="I20" s="32" t="s">
        <v>442</v>
      </c>
      <c r="J20" s="32" t="s">
        <v>443</v>
      </c>
      <c r="K20" s="32" t="s">
        <v>1342</v>
      </c>
      <c r="L20" s="32" t="s">
        <v>1344</v>
      </c>
      <c r="M20" s="32" t="s">
        <v>414</v>
      </c>
      <c r="N20" s="152" t="s">
        <v>567</v>
      </c>
    </row>
    <row r="21" spans="1:17">
      <c r="B21" s="176" t="s">
        <v>618</v>
      </c>
      <c r="C21" s="176" t="s">
        <v>439</v>
      </c>
      <c r="D21" s="176" t="s">
        <v>614</v>
      </c>
      <c r="E21" s="176" t="s">
        <v>615</v>
      </c>
      <c r="F21" s="176" t="s">
        <v>616</v>
      </c>
      <c r="G21" s="176" t="s">
        <v>617</v>
      </c>
      <c r="H21" s="176" t="s">
        <v>444</v>
      </c>
      <c r="I21" s="176" t="s">
        <v>444</v>
      </c>
      <c r="J21" s="176" t="s">
        <v>444</v>
      </c>
      <c r="K21" s="95" t="s">
        <v>1343</v>
      </c>
      <c r="L21" s="95" t="s">
        <v>1342</v>
      </c>
      <c r="M21" s="176" t="s">
        <v>465</v>
      </c>
      <c r="N21" s="153" t="s">
        <v>428</v>
      </c>
    </row>
    <row r="22" spans="1:17" ht="30">
      <c r="B22" s="62" t="s">
        <v>586</v>
      </c>
      <c r="C22" s="62" t="s">
        <v>586</v>
      </c>
      <c r="D22" s="62" t="s">
        <v>586</v>
      </c>
      <c r="E22" s="62" t="s">
        <v>586</v>
      </c>
      <c r="F22" s="62" t="s">
        <v>586</v>
      </c>
      <c r="G22" s="62" t="s">
        <v>589</v>
      </c>
      <c r="H22" s="62" t="s">
        <v>586</v>
      </c>
      <c r="I22" s="62" t="s">
        <v>586</v>
      </c>
      <c r="J22" s="62" t="s">
        <v>586</v>
      </c>
      <c r="K22" s="96" t="s">
        <v>589</v>
      </c>
      <c r="L22" s="96" t="s">
        <v>586</v>
      </c>
      <c r="M22" s="62" t="s">
        <v>591</v>
      </c>
      <c r="N22" s="154" t="s">
        <v>457</v>
      </c>
    </row>
    <row r="23" spans="1:17">
      <c r="B23" s="64">
        <v>200</v>
      </c>
      <c r="C23" s="65">
        <v>40</v>
      </c>
      <c r="D23" s="64">
        <v>200</v>
      </c>
      <c r="E23" s="64">
        <v>200</v>
      </c>
      <c r="F23" s="65">
        <v>10</v>
      </c>
      <c r="G23" s="64"/>
      <c r="H23" s="65">
        <v>200</v>
      </c>
      <c r="I23" s="64">
        <v>200</v>
      </c>
      <c r="J23" s="65">
        <v>200</v>
      </c>
      <c r="K23" s="160"/>
      <c r="L23" s="97">
        <v>10</v>
      </c>
      <c r="M23" s="64"/>
      <c r="N23" s="153" t="s">
        <v>1284</v>
      </c>
    </row>
    <row r="24" spans="1:17">
      <c r="B24" s="189"/>
      <c r="C24" s="190"/>
      <c r="D24" s="189"/>
      <c r="E24" s="189"/>
      <c r="F24" s="190"/>
      <c r="G24" s="189"/>
      <c r="H24" s="190"/>
      <c r="I24" s="189"/>
      <c r="J24" s="190"/>
      <c r="K24" s="191"/>
      <c r="L24" s="192"/>
      <c r="M24" s="191"/>
      <c r="N24" s="193"/>
    </row>
    <row r="25" spans="1:17">
      <c r="A25" s="194" t="s">
        <v>1483</v>
      </c>
      <c r="B25" s="1"/>
      <c r="C25" s="1"/>
      <c r="D25" s="195"/>
      <c r="E25" s="196" t="s">
        <v>440</v>
      </c>
      <c r="F25" s="197"/>
      <c r="G25" s="197"/>
      <c r="H25" s="197"/>
      <c r="I25" s="197"/>
      <c r="J25" s="197"/>
      <c r="K25" s="197"/>
      <c r="L25" s="197"/>
      <c r="M25" s="197"/>
      <c r="N25" s="197"/>
      <c r="O25" s="197"/>
      <c r="P25" s="197"/>
      <c r="Q25" s="1"/>
    </row>
    <row r="26" spans="1:17">
      <c r="A26" s="1" t="s">
        <v>1484</v>
      </c>
      <c r="B26" s="198" t="s">
        <v>579</v>
      </c>
      <c r="C26" s="199" t="s">
        <v>596</v>
      </c>
      <c r="D26" s="36" t="s">
        <v>584</v>
      </c>
      <c r="E26" s="36" t="s">
        <v>597</v>
      </c>
      <c r="F26" s="36" t="s">
        <v>598</v>
      </c>
      <c r="G26" s="36" t="s">
        <v>599</v>
      </c>
      <c r="H26" s="36" t="s">
        <v>420</v>
      </c>
      <c r="I26" s="36" t="s">
        <v>421</v>
      </c>
      <c r="J26" s="36" t="s">
        <v>422</v>
      </c>
      <c r="K26" s="36" t="s">
        <v>1479</v>
      </c>
      <c r="L26" s="36" t="s">
        <v>837</v>
      </c>
      <c r="M26" s="36" t="s">
        <v>838</v>
      </c>
      <c r="N26" s="36" t="s">
        <v>844</v>
      </c>
      <c r="O26" s="36" t="s">
        <v>441</v>
      </c>
      <c r="P26" s="36" t="s">
        <v>442</v>
      </c>
      <c r="Q26" s="36" t="s">
        <v>414</v>
      </c>
    </row>
    <row r="27" spans="1:17">
      <c r="A27" s="1"/>
      <c r="B27" s="107" t="s">
        <v>428</v>
      </c>
      <c r="C27" s="107" t="s">
        <v>583</v>
      </c>
      <c r="D27" s="107" t="s">
        <v>435</v>
      </c>
      <c r="E27" s="200" t="s">
        <v>801</v>
      </c>
      <c r="F27" s="200" t="s">
        <v>802</v>
      </c>
      <c r="G27" s="200" t="s">
        <v>803</v>
      </c>
      <c r="H27" s="200" t="s">
        <v>436</v>
      </c>
      <c r="I27" s="200" t="s">
        <v>437</v>
      </c>
      <c r="J27" s="200" t="s">
        <v>438</v>
      </c>
      <c r="K27" s="200" t="s">
        <v>1480</v>
      </c>
      <c r="L27" s="200" t="s">
        <v>845</v>
      </c>
      <c r="M27" s="200" t="s">
        <v>846</v>
      </c>
      <c r="N27" s="200" t="s">
        <v>847</v>
      </c>
      <c r="O27" s="107" t="s">
        <v>444</v>
      </c>
      <c r="P27" s="107" t="s">
        <v>444</v>
      </c>
      <c r="Q27" s="107" t="s">
        <v>465</v>
      </c>
    </row>
    <row r="28" spans="1:17" ht="30">
      <c r="A28" s="1"/>
      <c r="B28" s="108" t="s">
        <v>585</v>
      </c>
      <c r="C28" s="108" t="s">
        <v>585</v>
      </c>
      <c r="D28" s="108" t="s">
        <v>571</v>
      </c>
      <c r="E28" s="201" t="s">
        <v>842</v>
      </c>
      <c r="F28" s="201" t="s">
        <v>843</v>
      </c>
      <c r="G28" s="201" t="s">
        <v>843</v>
      </c>
      <c r="H28" s="201" t="s">
        <v>843</v>
      </c>
      <c r="I28" s="201" t="s">
        <v>843</v>
      </c>
      <c r="J28" s="201" t="s">
        <v>843</v>
      </c>
      <c r="K28" s="201" t="s">
        <v>1481</v>
      </c>
      <c r="L28" s="201" t="s">
        <v>840</v>
      </c>
      <c r="M28" s="201" t="s">
        <v>841</v>
      </c>
      <c r="N28" s="201" t="s">
        <v>848</v>
      </c>
      <c r="O28" s="108" t="s">
        <v>586</v>
      </c>
      <c r="P28" s="108" t="s">
        <v>586</v>
      </c>
      <c r="Q28" s="108" t="s">
        <v>591</v>
      </c>
    </row>
    <row r="29" spans="1:17" ht="21.75" customHeight="1">
      <c r="A29" s="1"/>
      <c r="B29" s="202"/>
      <c r="C29" s="202"/>
      <c r="D29" s="202">
        <v>1000</v>
      </c>
      <c r="E29" s="203"/>
      <c r="F29" s="204"/>
      <c r="G29" s="204"/>
      <c r="H29" s="203"/>
      <c r="I29" s="204"/>
      <c r="J29" s="204"/>
      <c r="K29" s="204" t="s">
        <v>1482</v>
      </c>
      <c r="L29" s="204" t="s">
        <v>817</v>
      </c>
      <c r="M29" s="204" t="s">
        <v>839</v>
      </c>
      <c r="N29" s="204" t="s">
        <v>849</v>
      </c>
      <c r="O29" s="205">
        <v>200</v>
      </c>
      <c r="P29" s="202">
        <v>200</v>
      </c>
      <c r="Q29" s="202"/>
    </row>
    <row r="31" spans="1:17" hidden="1">
      <c r="B31" s="7" t="s">
        <v>619</v>
      </c>
      <c r="F31" s="7" t="s">
        <v>916</v>
      </c>
    </row>
    <row r="32" spans="1:17" ht="15.75" hidden="1" thickBot="1">
      <c r="F32" s="7" t="s">
        <v>1156</v>
      </c>
    </row>
    <row r="33" spans="1:14" ht="15.75" hidden="1" thickBot="1">
      <c r="B33" s="80" t="s">
        <v>620</v>
      </c>
      <c r="C33" s="227" t="s">
        <v>621</v>
      </c>
      <c r="D33" s="228"/>
      <c r="E33" s="80" t="s">
        <v>620</v>
      </c>
      <c r="F33" s="227" t="s">
        <v>621</v>
      </c>
      <c r="G33" s="228"/>
      <c r="H33" s="80" t="s">
        <v>620</v>
      </c>
      <c r="I33" s="227" t="s">
        <v>621</v>
      </c>
      <c r="J33" s="228"/>
      <c r="L33" s="239" t="s">
        <v>693</v>
      </c>
      <c r="M33" s="239"/>
      <c r="N33" s="239"/>
    </row>
    <row r="34" spans="1:14" ht="49.5" hidden="1" customHeight="1" thickBot="1">
      <c r="A34" s="81">
        <v>1</v>
      </c>
      <c r="B34" s="69" t="s">
        <v>622</v>
      </c>
      <c r="C34" s="225" t="s">
        <v>623</v>
      </c>
      <c r="D34" s="226"/>
      <c r="E34" s="70" t="s">
        <v>644</v>
      </c>
      <c r="F34" s="229" t="s">
        <v>1169</v>
      </c>
      <c r="G34" s="230"/>
      <c r="H34" s="69" t="s">
        <v>666</v>
      </c>
      <c r="I34" s="225" t="s">
        <v>667</v>
      </c>
      <c r="J34" s="226"/>
      <c r="L34" s="240" t="s">
        <v>694</v>
      </c>
      <c r="M34" s="240"/>
      <c r="N34" s="240"/>
    </row>
    <row r="35" spans="1:14" ht="31.5" hidden="1" thickBot="1">
      <c r="A35" s="81">
        <v>2</v>
      </c>
      <c r="B35" s="70" t="s">
        <v>624</v>
      </c>
      <c r="C35" s="229" t="s">
        <v>625</v>
      </c>
      <c r="D35" s="230"/>
      <c r="E35" s="69" t="s">
        <v>646</v>
      </c>
      <c r="F35" s="225" t="s">
        <v>647</v>
      </c>
      <c r="G35" s="226"/>
      <c r="H35" s="70" t="s">
        <v>668</v>
      </c>
      <c r="I35" s="233" t="s">
        <v>669</v>
      </c>
      <c r="J35" s="234"/>
      <c r="L35" s="239" t="s">
        <v>695</v>
      </c>
      <c r="M35" s="239"/>
      <c r="N35" s="239"/>
    </row>
    <row r="36" spans="1:14" ht="15.75" hidden="1" thickBot="1">
      <c r="A36" s="81">
        <v>3</v>
      </c>
      <c r="B36" s="69" t="s">
        <v>626</v>
      </c>
      <c r="C36" s="225" t="s">
        <v>627</v>
      </c>
      <c r="D36" s="226"/>
      <c r="E36" s="70" t="s">
        <v>648</v>
      </c>
      <c r="F36" s="229" t="s">
        <v>649</v>
      </c>
      <c r="G36" s="230"/>
      <c r="H36" s="69" t="s">
        <v>670</v>
      </c>
      <c r="I36" s="225" t="s">
        <v>671</v>
      </c>
      <c r="J36" s="226"/>
      <c r="L36" s="240" t="s">
        <v>696</v>
      </c>
      <c r="M36" s="240"/>
      <c r="N36" s="240"/>
    </row>
    <row r="37" spans="1:14" ht="17.25" hidden="1" customHeight="1" thickBot="1">
      <c r="A37" s="81">
        <v>4</v>
      </c>
      <c r="B37" s="70" t="s">
        <v>628</v>
      </c>
      <c r="C37" s="229" t="s">
        <v>629</v>
      </c>
      <c r="D37" s="230"/>
      <c r="E37" s="69" t="s">
        <v>650</v>
      </c>
      <c r="F37" s="225" t="s">
        <v>651</v>
      </c>
      <c r="G37" s="226"/>
      <c r="H37" s="70" t="s">
        <v>672</v>
      </c>
      <c r="I37" s="229" t="s">
        <v>673</v>
      </c>
      <c r="J37" s="230"/>
      <c r="L37" s="239" t="s">
        <v>697</v>
      </c>
      <c r="M37" s="239"/>
      <c r="N37" s="239"/>
    </row>
    <row r="38" spans="1:14" ht="43.5" hidden="1" customHeight="1" thickBot="1">
      <c r="A38" s="81">
        <v>5</v>
      </c>
      <c r="B38" s="69" t="s">
        <v>630</v>
      </c>
      <c r="C38" s="225" t="s">
        <v>631</v>
      </c>
      <c r="D38" s="226"/>
      <c r="E38" s="70" t="s">
        <v>652</v>
      </c>
      <c r="F38" s="229" t="s">
        <v>653</v>
      </c>
      <c r="G38" s="230"/>
      <c r="H38" s="69" t="s">
        <v>674</v>
      </c>
      <c r="I38" s="225" t="s">
        <v>675</v>
      </c>
      <c r="J38" s="226"/>
      <c r="L38" s="240" t="s">
        <v>698</v>
      </c>
      <c r="M38" s="240"/>
      <c r="N38" s="240"/>
    </row>
    <row r="39" spans="1:14" ht="31.5" hidden="1" customHeight="1" thickBot="1">
      <c r="A39" s="81">
        <v>6</v>
      </c>
      <c r="B39" s="70" t="s">
        <v>632</v>
      </c>
      <c r="C39" s="229" t="s">
        <v>633</v>
      </c>
      <c r="D39" s="230"/>
      <c r="E39" s="69" t="s">
        <v>654</v>
      </c>
      <c r="F39" s="225" t="s">
        <v>655</v>
      </c>
      <c r="G39" s="226"/>
      <c r="H39" s="70" t="s">
        <v>676</v>
      </c>
      <c r="I39" s="231" t="s">
        <v>677</v>
      </c>
      <c r="J39" s="232"/>
      <c r="L39" s="239" t="s">
        <v>699</v>
      </c>
      <c r="M39" s="239"/>
      <c r="N39" s="239"/>
    </row>
    <row r="40" spans="1:14" ht="28.5" hidden="1" customHeight="1" thickBot="1">
      <c r="A40" s="81">
        <v>7</v>
      </c>
      <c r="B40" s="69" t="s">
        <v>634</v>
      </c>
      <c r="C40" s="225" t="s">
        <v>635</v>
      </c>
      <c r="D40" s="226"/>
      <c r="E40" s="70" t="s">
        <v>656</v>
      </c>
      <c r="F40" s="229" t="s">
        <v>657</v>
      </c>
      <c r="G40" s="230"/>
      <c r="H40" s="69" t="s">
        <v>678</v>
      </c>
      <c r="I40" s="235" t="s">
        <v>679</v>
      </c>
      <c r="J40" s="236"/>
      <c r="L40" s="240" t="s">
        <v>700</v>
      </c>
      <c r="M40" s="240"/>
      <c r="N40" s="240"/>
    </row>
    <row r="41" spans="1:14" ht="31.5" hidden="1" customHeight="1" thickBot="1">
      <c r="A41" s="81">
        <v>8</v>
      </c>
      <c r="B41" s="70" t="s">
        <v>636</v>
      </c>
      <c r="C41" s="229" t="s">
        <v>637</v>
      </c>
      <c r="D41" s="230"/>
      <c r="E41" s="69" t="s">
        <v>658</v>
      </c>
      <c r="F41" s="225" t="s">
        <v>659</v>
      </c>
      <c r="G41" s="226"/>
      <c r="H41" s="77" t="s">
        <v>680</v>
      </c>
      <c r="I41" s="229" t="s">
        <v>681</v>
      </c>
      <c r="J41" s="230"/>
      <c r="L41" s="239" t="s">
        <v>701</v>
      </c>
      <c r="M41" s="239"/>
      <c r="N41" s="239"/>
    </row>
    <row r="42" spans="1:14" ht="45.75" hidden="1" thickBot="1">
      <c r="A42" s="81">
        <v>9</v>
      </c>
      <c r="B42" s="69" t="s">
        <v>638</v>
      </c>
      <c r="C42" s="225" t="s">
        <v>639</v>
      </c>
      <c r="D42" s="226"/>
      <c r="E42" s="70" t="s">
        <v>660</v>
      </c>
      <c r="F42" s="229" t="s">
        <v>661</v>
      </c>
      <c r="G42" s="230"/>
      <c r="H42" s="78"/>
      <c r="I42" s="71" t="s">
        <v>682</v>
      </c>
      <c r="J42" s="72" t="s">
        <v>683</v>
      </c>
      <c r="L42" s="240" t="s">
        <v>702</v>
      </c>
      <c r="M42" s="240"/>
      <c r="N42" s="240"/>
    </row>
    <row r="43" spans="1:14" ht="75.75" hidden="1" thickBot="1">
      <c r="A43" s="81">
        <v>10</v>
      </c>
      <c r="B43" s="70" t="s">
        <v>640</v>
      </c>
      <c r="C43" s="229" t="s">
        <v>641</v>
      </c>
      <c r="D43" s="230"/>
      <c r="E43" s="69" t="s">
        <v>662</v>
      </c>
      <c r="F43" s="225" t="s">
        <v>663</v>
      </c>
      <c r="G43" s="226"/>
      <c r="H43" s="78"/>
      <c r="I43" s="73" t="s">
        <v>684</v>
      </c>
      <c r="J43" s="74" t="s">
        <v>685</v>
      </c>
    </row>
    <row r="44" spans="1:14" ht="30.75" hidden="1" thickBot="1">
      <c r="A44" s="81">
        <v>11</v>
      </c>
      <c r="B44" s="69" t="s">
        <v>642</v>
      </c>
      <c r="C44" s="225" t="s">
        <v>643</v>
      </c>
      <c r="D44" s="226"/>
      <c r="E44" s="70" t="s">
        <v>664</v>
      </c>
      <c r="F44" s="229" t="s">
        <v>665</v>
      </c>
      <c r="G44" s="230"/>
      <c r="H44" s="78"/>
      <c r="I44" s="75" t="s">
        <v>686</v>
      </c>
      <c r="J44" s="76" t="s">
        <v>687</v>
      </c>
    </row>
    <row r="45" spans="1:14" ht="64.5" hidden="1" customHeight="1" thickBot="1">
      <c r="A45" s="81">
        <v>12</v>
      </c>
      <c r="B45" s="70" t="s">
        <v>691</v>
      </c>
      <c r="C45" s="231" t="s">
        <v>692</v>
      </c>
      <c r="D45" s="232"/>
      <c r="E45" s="69" t="s">
        <v>689</v>
      </c>
      <c r="F45" s="235" t="s">
        <v>690</v>
      </c>
      <c r="G45" s="236"/>
      <c r="H45" s="79"/>
      <c r="I45" s="237" t="s">
        <v>688</v>
      </c>
      <c r="J45" s="238"/>
    </row>
    <row r="46" spans="1:14">
      <c r="A46" s="33" t="s">
        <v>773</v>
      </c>
      <c r="D46" t="s">
        <v>759</v>
      </c>
    </row>
    <row r="47" spans="1:14">
      <c r="B47" s="38" t="s">
        <v>765</v>
      </c>
      <c r="C47" s="60" t="s">
        <v>776</v>
      </c>
      <c r="D47" s="32" t="s">
        <v>753</v>
      </c>
      <c r="E47" s="32" t="s">
        <v>766</v>
      </c>
      <c r="F47" s="32" t="s">
        <v>755</v>
      </c>
      <c r="G47" s="32" t="s">
        <v>414</v>
      </c>
      <c r="L47" s="175" t="s">
        <v>0</v>
      </c>
      <c r="M47" s="175" t="s">
        <v>307</v>
      </c>
      <c r="N47" s="175" t="s">
        <v>263</v>
      </c>
    </row>
    <row r="48" spans="1:14">
      <c r="B48" s="176" t="s">
        <v>428</v>
      </c>
      <c r="C48" s="176" t="s">
        <v>751</v>
      </c>
      <c r="D48" s="176" t="s">
        <v>754</v>
      </c>
      <c r="E48" s="176" t="s">
        <v>432</v>
      </c>
      <c r="F48" s="176" t="s">
        <v>756</v>
      </c>
      <c r="G48" s="176" t="s">
        <v>465</v>
      </c>
      <c r="L48" s="19" t="s">
        <v>1</v>
      </c>
      <c r="M48" s="176">
        <v>1</v>
      </c>
      <c r="N48" s="19" t="s">
        <v>272</v>
      </c>
    </row>
    <row r="49" spans="1:14">
      <c r="B49" s="62" t="s">
        <v>457</v>
      </c>
      <c r="C49" s="62" t="s">
        <v>451</v>
      </c>
      <c r="D49" s="62" t="s">
        <v>451</v>
      </c>
      <c r="E49" s="62" t="s">
        <v>451</v>
      </c>
      <c r="F49" s="62" t="s">
        <v>451</v>
      </c>
      <c r="G49" s="62" t="s">
        <v>453</v>
      </c>
      <c r="L49" s="19" t="s">
        <v>2</v>
      </c>
      <c r="M49" s="176">
        <v>1</v>
      </c>
      <c r="N49" s="19" t="s">
        <v>264</v>
      </c>
    </row>
    <row r="50" spans="1:14">
      <c r="B50" s="63"/>
      <c r="C50" s="263" t="s">
        <v>1491</v>
      </c>
      <c r="D50" s="188" t="s">
        <v>1492</v>
      </c>
      <c r="E50" s="63"/>
      <c r="F50" s="176"/>
      <c r="G50" s="63"/>
      <c r="L50" s="19" t="s">
        <v>6</v>
      </c>
      <c r="M50" s="176">
        <v>1</v>
      </c>
      <c r="N50" s="21" t="s">
        <v>268</v>
      </c>
    </row>
    <row r="51" spans="1:14" ht="225">
      <c r="C51" t="s">
        <v>764</v>
      </c>
      <c r="D51" t="s">
        <v>781</v>
      </c>
      <c r="E51" t="s">
        <v>758</v>
      </c>
      <c r="L51" s="18" t="s">
        <v>271</v>
      </c>
      <c r="M51" s="174">
        <v>1</v>
      </c>
      <c r="N51" s="23" t="s">
        <v>265</v>
      </c>
    </row>
    <row r="52" spans="1:14">
      <c r="A52" s="33" t="s">
        <v>774</v>
      </c>
      <c r="L52" s="19" t="s">
        <v>266</v>
      </c>
      <c r="M52" s="176">
        <v>2</v>
      </c>
      <c r="N52" s="21" t="s">
        <v>267</v>
      </c>
    </row>
    <row r="53" spans="1:14">
      <c r="B53" s="38" t="s">
        <v>775</v>
      </c>
      <c r="C53" s="60" t="s">
        <v>777</v>
      </c>
      <c r="D53" s="87" t="s">
        <v>760</v>
      </c>
      <c r="E53" s="32" t="s">
        <v>762</v>
      </c>
      <c r="F53" s="32" t="s">
        <v>414</v>
      </c>
      <c r="L53" s="19" t="s">
        <v>269</v>
      </c>
      <c r="M53" s="176">
        <v>2</v>
      </c>
      <c r="N53" s="24" t="s">
        <v>270</v>
      </c>
    </row>
    <row r="54" spans="1:14">
      <c r="B54" s="176" t="s">
        <v>428</v>
      </c>
      <c r="C54" s="176" t="s">
        <v>751</v>
      </c>
      <c r="D54" s="176" t="s">
        <v>761</v>
      </c>
      <c r="E54" s="176" t="s">
        <v>763</v>
      </c>
      <c r="F54" s="176" t="s">
        <v>465</v>
      </c>
      <c r="L54" s="19" t="s">
        <v>3</v>
      </c>
      <c r="M54" s="176">
        <v>2</v>
      </c>
      <c r="N54" s="19"/>
    </row>
    <row r="55" spans="1:14">
      <c r="B55" s="62" t="s">
        <v>457</v>
      </c>
      <c r="C55" s="62" t="s">
        <v>451</v>
      </c>
      <c r="D55" s="62" t="s">
        <v>451</v>
      </c>
      <c r="E55" s="62" t="s">
        <v>451</v>
      </c>
      <c r="F55" s="62" t="s">
        <v>453</v>
      </c>
      <c r="L55" s="19" t="s">
        <v>4</v>
      </c>
      <c r="M55" s="176">
        <v>2</v>
      </c>
      <c r="N55" s="19"/>
    </row>
    <row r="56" spans="1:14">
      <c r="B56" s="63"/>
      <c r="C56" s="63"/>
      <c r="D56" s="63"/>
      <c r="E56" s="176"/>
      <c r="F56" s="63"/>
    </row>
    <row r="57" spans="1:14">
      <c r="C57" t="s">
        <v>757</v>
      </c>
      <c r="D57" t="s">
        <v>779</v>
      </c>
      <c r="E57" t="s">
        <v>639</v>
      </c>
      <c r="F57" t="s">
        <v>778</v>
      </c>
      <c r="G57" s="89" t="s">
        <v>782</v>
      </c>
      <c r="H57" s="89" t="s">
        <v>757</v>
      </c>
      <c r="I57" s="89" t="s">
        <v>783</v>
      </c>
      <c r="J57" s="89" t="s">
        <v>784</v>
      </c>
      <c r="L57" s="9" t="s">
        <v>313</v>
      </c>
      <c r="M57" s="13" t="s">
        <v>343</v>
      </c>
    </row>
    <row r="58" spans="1:14">
      <c r="D58" t="s">
        <v>780</v>
      </c>
      <c r="E58" t="s">
        <v>641</v>
      </c>
      <c r="F58" t="s">
        <v>640</v>
      </c>
      <c r="L58" s="9" t="s">
        <v>314</v>
      </c>
      <c r="M58" s="13" t="s">
        <v>351</v>
      </c>
    </row>
    <row r="59" spans="1:14">
      <c r="C59" t="s">
        <v>768</v>
      </c>
      <c r="L59" s="49" t="s">
        <v>600</v>
      </c>
      <c r="M59" s="49" t="s">
        <v>601</v>
      </c>
    </row>
    <row r="60" spans="1:14">
      <c r="C60" t="s">
        <v>769</v>
      </c>
      <c r="L60" s="9" t="s">
        <v>344</v>
      </c>
      <c r="M60" s="9" t="s">
        <v>602</v>
      </c>
    </row>
    <row r="61" spans="1:14">
      <c r="C61" t="s">
        <v>770</v>
      </c>
      <c r="L61" s="9" t="s">
        <v>345</v>
      </c>
      <c r="M61" s="9" t="s">
        <v>349</v>
      </c>
    </row>
    <row r="62" spans="1:14">
      <c r="C62" t="s">
        <v>771</v>
      </c>
      <c r="L62" s="9" t="s">
        <v>315</v>
      </c>
      <c r="M62" s="9" t="s">
        <v>348</v>
      </c>
    </row>
    <row r="63" spans="1:14">
      <c r="C63" s="88" t="s">
        <v>772</v>
      </c>
      <c r="L63" s="9" t="s">
        <v>346</v>
      </c>
      <c r="M63" s="9" t="s">
        <v>347</v>
      </c>
    </row>
    <row r="65" spans="1:10">
      <c r="A65" s="185" t="s">
        <v>1454</v>
      </c>
    </row>
    <row r="66" spans="1:10">
      <c r="B66" s="38" t="s">
        <v>1455</v>
      </c>
      <c r="C66" s="60" t="s">
        <v>1457</v>
      </c>
      <c r="D66" s="32" t="s">
        <v>1458</v>
      </c>
      <c r="E66" s="32" t="s">
        <v>1475</v>
      </c>
      <c r="F66" s="32" t="s">
        <v>1461</v>
      </c>
      <c r="G66" s="32" t="s">
        <v>1462</v>
      </c>
      <c r="H66" s="32" t="s">
        <v>1463</v>
      </c>
      <c r="I66" s="32" t="s">
        <v>755</v>
      </c>
      <c r="J66" s="32" t="s">
        <v>414</v>
      </c>
    </row>
    <row r="67" spans="1:10">
      <c r="B67" s="176" t="s">
        <v>428</v>
      </c>
      <c r="C67" s="176" t="s">
        <v>1456</v>
      </c>
      <c r="D67" s="176" t="s">
        <v>1459</v>
      </c>
      <c r="E67" s="176" t="s">
        <v>1476</v>
      </c>
      <c r="F67" s="176" t="s">
        <v>1460</v>
      </c>
      <c r="G67" s="176" t="s">
        <v>931</v>
      </c>
      <c r="H67" s="176" t="s">
        <v>929</v>
      </c>
      <c r="I67" s="176" t="s">
        <v>756</v>
      </c>
      <c r="J67" s="176" t="s">
        <v>465</v>
      </c>
    </row>
    <row r="68" spans="1:10">
      <c r="B68" s="62" t="s">
        <v>457</v>
      </c>
      <c r="C68" s="62" t="s">
        <v>451</v>
      </c>
      <c r="D68" s="62" t="s">
        <v>451</v>
      </c>
      <c r="E68" s="62" t="s">
        <v>451</v>
      </c>
      <c r="F68" s="62" t="s">
        <v>451</v>
      </c>
      <c r="G68" s="62" t="s">
        <v>1465</v>
      </c>
      <c r="H68" s="62" t="s">
        <v>1465</v>
      </c>
      <c r="I68" s="62" t="s">
        <v>451</v>
      </c>
      <c r="J68" s="62" t="s">
        <v>453</v>
      </c>
    </row>
    <row r="69" spans="1:10">
      <c r="B69" s="62"/>
      <c r="C69" s="62">
        <v>10</v>
      </c>
      <c r="D69" s="62">
        <v>500</v>
      </c>
      <c r="E69" s="62">
        <v>500</v>
      </c>
      <c r="F69" s="176">
        <v>10</v>
      </c>
      <c r="G69" s="176"/>
      <c r="H69" s="176"/>
      <c r="I69" s="62"/>
      <c r="J69" s="62"/>
    </row>
    <row r="70" spans="1:10">
      <c r="C70" s="176" t="s">
        <v>1469</v>
      </c>
      <c r="E70" s="186" t="s">
        <v>440</v>
      </c>
      <c r="F70" s="176" t="s">
        <v>1467</v>
      </c>
      <c r="G70" s="172" t="s">
        <v>1464</v>
      </c>
      <c r="H70" s="176" t="s">
        <v>1464</v>
      </c>
    </row>
    <row r="71" spans="1:10">
      <c r="C71" s="176" t="s">
        <v>1470</v>
      </c>
      <c r="F71" s="176" t="s">
        <v>1468</v>
      </c>
      <c r="G71" s="172" t="s">
        <v>1466</v>
      </c>
      <c r="H71" s="176" t="s">
        <v>1466</v>
      </c>
    </row>
    <row r="72" spans="1:10">
      <c r="F72" s="176" t="s">
        <v>1477</v>
      </c>
    </row>
    <row r="74" spans="1:10">
      <c r="A74" s="33" t="s">
        <v>1471</v>
      </c>
    </row>
    <row r="75" spans="1:10">
      <c r="B75" s="38" t="s">
        <v>1472</v>
      </c>
      <c r="C75" s="60" t="s">
        <v>1473</v>
      </c>
      <c r="D75" s="60" t="s">
        <v>1474</v>
      </c>
      <c r="E75" s="32" t="s">
        <v>755</v>
      </c>
      <c r="F75" s="32" t="s">
        <v>414</v>
      </c>
    </row>
    <row r="76" spans="1:10">
      <c r="B76" s="176" t="s">
        <v>428</v>
      </c>
      <c r="C76" s="176" t="s">
        <v>583</v>
      </c>
      <c r="D76" s="176" t="s">
        <v>583</v>
      </c>
      <c r="E76" s="176" t="s">
        <v>756</v>
      </c>
      <c r="F76" s="176" t="s">
        <v>465</v>
      </c>
    </row>
    <row r="77" spans="1:10">
      <c r="B77" s="62" t="s">
        <v>457</v>
      </c>
      <c r="C77" s="62" t="s">
        <v>457</v>
      </c>
      <c r="D77" s="62" t="s">
        <v>457</v>
      </c>
      <c r="E77" s="62" t="s">
        <v>451</v>
      </c>
      <c r="F77" s="62" t="s">
        <v>453</v>
      </c>
    </row>
    <row r="78" spans="1:10">
      <c r="B78" s="62"/>
      <c r="C78" s="62"/>
      <c r="D78" s="62"/>
      <c r="E78" s="62"/>
      <c r="F78" s="62"/>
    </row>
  </sheetData>
  <mergeCells count="49">
    <mergeCell ref="O8:R12"/>
    <mergeCell ref="C34:D34"/>
    <mergeCell ref="F34:G34"/>
    <mergeCell ref="I34:J34"/>
    <mergeCell ref="L34:N34"/>
    <mergeCell ref="I7:J7"/>
    <mergeCell ref="C33:D33"/>
    <mergeCell ref="F33:G33"/>
    <mergeCell ref="I33:J33"/>
    <mergeCell ref="L33:N33"/>
    <mergeCell ref="K7:L7"/>
    <mergeCell ref="C35:D35"/>
    <mergeCell ref="F35:G35"/>
    <mergeCell ref="I35:J35"/>
    <mergeCell ref="L35:N35"/>
    <mergeCell ref="C36:D36"/>
    <mergeCell ref="F36:G36"/>
    <mergeCell ref="I36:J36"/>
    <mergeCell ref="L36:N36"/>
    <mergeCell ref="C37:D37"/>
    <mergeCell ref="F37:G37"/>
    <mergeCell ref="I37:J37"/>
    <mergeCell ref="L37:N37"/>
    <mergeCell ref="C38:D38"/>
    <mergeCell ref="F38:G38"/>
    <mergeCell ref="I38:J38"/>
    <mergeCell ref="L38:N38"/>
    <mergeCell ref="C39:D39"/>
    <mergeCell ref="F39:G39"/>
    <mergeCell ref="I39:J39"/>
    <mergeCell ref="L39:N39"/>
    <mergeCell ref="C40:D40"/>
    <mergeCell ref="F40:G40"/>
    <mergeCell ref="I40:J40"/>
    <mergeCell ref="L40:N40"/>
    <mergeCell ref="C41:D41"/>
    <mergeCell ref="F41:G41"/>
    <mergeCell ref="I41:J41"/>
    <mergeCell ref="L41:N41"/>
    <mergeCell ref="C42:D42"/>
    <mergeCell ref="F42:G42"/>
    <mergeCell ref="L42:N42"/>
    <mergeCell ref="I45:J45"/>
    <mergeCell ref="C43:D43"/>
    <mergeCell ref="F43:G43"/>
    <mergeCell ref="C44:D44"/>
    <mergeCell ref="F44:G44"/>
    <mergeCell ref="C45:D45"/>
    <mergeCell ref="F45:G45"/>
  </mergeCells>
  <hyperlinks>
    <hyperlink ref="B31" r:id="rId1" location="formats" display="https://httpd.apache.org/docs/2.4/ko/mod/mod_log_config.html - formats" xr:uid="{E0294489-0227-4828-B534-974764373FCA}"/>
    <hyperlink ref="I39" r:id="rId2" location="servername" display="https://httpd.apache.org/docs/2.4/ko/mod/core.html - servername" xr:uid="{AB519F2E-9D83-410C-80D2-B29C1A52B224}"/>
    <hyperlink ref="I40" r:id="rId3" location="usecanonicalname" display="https://httpd.apache.org/docs/2.4/ko/mod/core.html - usecanonicalname" xr:uid="{9D7E07B1-1B7B-4422-A2C2-B840A0EBFA7F}"/>
    <hyperlink ref="F45" r:id="rId4" display="https://httpd.apache.org/docs/2.4/ko/mod/mod_logio.html" xr:uid="{6E2571DD-4032-4D39-89B2-FB3D2D00B81E}"/>
    <hyperlink ref="C45" r:id="rId5" display="https://httpd.apache.org/docs/2.4/ko/mod/mod_logio.html" xr:uid="{CC6FDF2C-19CF-459F-89D9-80FB7D9B1F94}"/>
    <hyperlink ref="N50" r:id="rId6" xr:uid="{A5AB5966-5E5B-4ACE-BDD5-EF4EC21F896B}"/>
    <hyperlink ref="N52" r:id="rId7" xr:uid="{898E81E6-DE64-4CC0-AFBC-6CC1F5FF7D6E}"/>
    <hyperlink ref="F31" r:id="rId8" location="get_queryset" display="http://www.cdrf.co/3.1/rest_framework.viewsets/ModelViewSet.html - get_queryset" xr:uid="{0CD86DF2-32D9-4918-BDC6-8F94CF61C176}"/>
    <hyperlink ref="F32" r:id="rId9" xr:uid="{7941DC48-F222-4EE9-9594-50E0B40337E0}"/>
  </hyperlinks>
  <pageMargins left="0.25" right="0.25" top="0.75" bottom="0.75" header="0.3" footer="0.3"/>
  <pageSetup paperSize="9" scale="50" orientation="landscape"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27D0-2BE2-4FBE-9F02-905A2F6E0ADE}">
  <sheetPr>
    <pageSetUpPr fitToPage="1"/>
  </sheetPr>
  <dimension ref="A29:A45"/>
  <sheetViews>
    <sheetView topLeftCell="A19" zoomScale="55" zoomScaleNormal="55" workbookViewId="0">
      <selection activeCell="R27" sqref="R27"/>
    </sheetView>
  </sheetViews>
  <sheetFormatPr defaultRowHeight="15"/>
  <sheetData>
    <row r="29" ht="21.75" customHeight="1"/>
    <row r="31" hidden="1"/>
    <row r="32" hidden="1"/>
    <row r="33" hidden="1"/>
    <row r="34" ht="49.5" hidden="1" customHeight="1"/>
    <row r="35" hidden="1"/>
    <row r="36" hidden="1"/>
    <row r="37" ht="17.25" hidden="1" customHeight="1"/>
    <row r="38" ht="43.5" hidden="1" customHeight="1"/>
    <row r="39" ht="31.5" hidden="1" customHeight="1"/>
    <row r="40" ht="28.5" hidden="1" customHeight="1"/>
    <row r="41" ht="31.5" hidden="1" customHeight="1"/>
    <row r="42" hidden="1"/>
    <row r="43" hidden="1"/>
    <row r="44" hidden="1"/>
    <row r="45" ht="64.5" hidden="1" customHeight="1"/>
  </sheetData>
  <pageMargins left="0.25" right="0.25" top="0.75" bottom="0.75" header="0.3" footer="0.3"/>
  <pageSetup paperSize="9" scale="5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zoomScaleNormal="100" workbookViewId="0">
      <selection activeCell="G18" sqref="G18"/>
    </sheetView>
  </sheetViews>
  <sheetFormatPr defaultRowHeight="15"/>
  <cols>
    <col min="1" max="1" width="14.5703125" customWidth="1"/>
    <col min="2" max="2" width="10.85546875" customWidth="1"/>
    <col min="3" max="3" width="28.140625" customWidth="1"/>
    <col min="4" max="4" width="50.85546875" bestFit="1" customWidth="1"/>
    <col min="5" max="5" width="13.140625" bestFit="1" customWidth="1"/>
    <col min="6" max="6" width="11.5703125" bestFit="1" customWidth="1"/>
    <col min="7" max="7" width="12.140625" bestFit="1" customWidth="1"/>
  </cols>
  <sheetData>
    <row r="1" spans="1:7">
      <c r="A1" s="40" t="s">
        <v>491</v>
      </c>
      <c r="B1" s="40" t="s">
        <v>469</v>
      </c>
      <c r="C1" s="40" t="s">
        <v>472</v>
      </c>
      <c r="D1" s="40" t="s">
        <v>478</v>
      </c>
      <c r="E1" s="40" t="s">
        <v>475</v>
      </c>
      <c r="F1" s="40" t="s">
        <v>474</v>
      </c>
      <c r="G1" s="40" t="s">
        <v>477</v>
      </c>
    </row>
    <row r="2" spans="1:7">
      <c r="A2" s="20" t="s">
        <v>492</v>
      </c>
      <c r="B2" s="20" t="s">
        <v>470</v>
      </c>
      <c r="C2" s="19" t="s">
        <v>473</v>
      </c>
      <c r="D2" s="19" t="s">
        <v>502</v>
      </c>
      <c r="E2" s="41" t="s">
        <v>541</v>
      </c>
      <c r="F2" s="20" t="s">
        <v>501</v>
      </c>
      <c r="G2" s="20"/>
    </row>
    <row r="3" spans="1:7">
      <c r="A3" s="20" t="s">
        <v>493</v>
      </c>
      <c r="B3" s="20" t="s">
        <v>470</v>
      </c>
      <c r="C3" s="19" t="s">
        <v>476</v>
      </c>
      <c r="D3" s="19" t="s">
        <v>705</v>
      </c>
      <c r="E3" s="20" t="s">
        <v>605</v>
      </c>
      <c r="F3" s="20" t="s">
        <v>501</v>
      </c>
      <c r="G3" s="20"/>
    </row>
    <row r="4" spans="1:7">
      <c r="A4" s="20" t="s">
        <v>606</v>
      </c>
      <c r="B4" s="20" t="s">
        <v>470</v>
      </c>
      <c r="C4" s="19" t="s">
        <v>608</v>
      </c>
      <c r="D4" s="19" t="s">
        <v>607</v>
      </c>
      <c r="E4" s="20" t="s">
        <v>609</v>
      </c>
      <c r="F4" s="20" t="s">
        <v>703</v>
      </c>
      <c r="G4" s="20" t="s">
        <v>704</v>
      </c>
    </row>
    <row r="5" spans="1:7">
      <c r="A5" s="20" t="s">
        <v>494</v>
      </c>
      <c r="B5" s="20" t="s">
        <v>470</v>
      </c>
      <c r="C5" s="19" t="s">
        <v>479</v>
      </c>
      <c r="D5" s="19" t="s">
        <v>480</v>
      </c>
      <c r="E5" s="20" t="s">
        <v>604</v>
      </c>
      <c r="F5" s="20" t="s">
        <v>501</v>
      </c>
      <c r="G5" s="20"/>
    </row>
    <row r="6" spans="1:7">
      <c r="A6" s="20" t="s">
        <v>712</v>
      </c>
      <c r="B6" s="20" t="s">
        <v>470</v>
      </c>
      <c r="C6" s="19" t="s">
        <v>713</v>
      </c>
      <c r="D6" s="19" t="s">
        <v>715</v>
      </c>
      <c r="E6" s="20" t="s">
        <v>714</v>
      </c>
      <c r="F6" s="85" t="s">
        <v>501</v>
      </c>
      <c r="G6" s="20"/>
    </row>
    <row r="7" spans="1:7">
      <c r="A7" s="82" t="s">
        <v>749</v>
      </c>
      <c r="B7" s="82" t="s">
        <v>470</v>
      </c>
      <c r="C7" s="19" t="s">
        <v>748</v>
      </c>
      <c r="D7" s="19" t="s">
        <v>750</v>
      </c>
      <c r="E7" s="82" t="s">
        <v>718</v>
      </c>
      <c r="F7" s="92" t="s">
        <v>501</v>
      </c>
      <c r="G7" s="82"/>
    </row>
    <row r="8" spans="1:7">
      <c r="A8" s="20" t="s">
        <v>495</v>
      </c>
      <c r="B8" s="20" t="s">
        <v>471</v>
      </c>
      <c r="C8" s="19" t="s">
        <v>481</v>
      </c>
      <c r="D8" s="19" t="s">
        <v>483</v>
      </c>
      <c r="E8" s="20" t="s">
        <v>593</v>
      </c>
      <c r="F8" s="20" t="s">
        <v>592</v>
      </c>
      <c r="G8" s="20" t="s">
        <v>594</v>
      </c>
    </row>
    <row r="9" spans="1:7">
      <c r="A9" s="20" t="s">
        <v>711</v>
      </c>
      <c r="B9" s="20" t="s">
        <v>471</v>
      </c>
      <c r="C9" s="19" t="s">
        <v>716</v>
      </c>
      <c r="D9" s="19" t="s">
        <v>717</v>
      </c>
      <c r="E9" s="20" t="s">
        <v>718</v>
      </c>
      <c r="F9" s="85" t="s">
        <v>501</v>
      </c>
      <c r="G9" s="20"/>
    </row>
    <row r="10" spans="1:7">
      <c r="A10" s="20" t="s">
        <v>496</v>
      </c>
      <c r="B10" s="20" t="s">
        <v>471</v>
      </c>
      <c r="C10" s="19" t="s">
        <v>489</v>
      </c>
      <c r="D10" s="19" t="s">
        <v>486</v>
      </c>
      <c r="E10" s="20" t="s">
        <v>865</v>
      </c>
      <c r="F10" s="92" t="s">
        <v>501</v>
      </c>
      <c r="G10" s="20" t="s">
        <v>706</v>
      </c>
    </row>
    <row r="11" spans="1:7">
      <c r="A11" s="20" t="s">
        <v>497</v>
      </c>
      <c r="B11" s="20" t="s">
        <v>471</v>
      </c>
      <c r="C11" s="19" t="s">
        <v>489</v>
      </c>
      <c r="D11" s="19" t="s">
        <v>487</v>
      </c>
      <c r="E11" s="92" t="s">
        <v>865</v>
      </c>
      <c r="F11" s="92" t="s">
        <v>501</v>
      </c>
      <c r="G11" s="20" t="s">
        <v>706</v>
      </c>
    </row>
    <row r="12" spans="1:7">
      <c r="A12" s="20" t="s">
        <v>498</v>
      </c>
      <c r="B12" s="20" t="s">
        <v>471</v>
      </c>
      <c r="C12" s="19" t="s">
        <v>489</v>
      </c>
      <c r="D12" s="19" t="s">
        <v>488</v>
      </c>
      <c r="E12" s="92" t="s">
        <v>865</v>
      </c>
      <c r="F12" s="92" t="s">
        <v>501</v>
      </c>
      <c r="G12" s="20" t="s">
        <v>706</v>
      </c>
    </row>
    <row r="13" spans="1:7">
      <c r="A13" s="20" t="s">
        <v>499</v>
      </c>
      <c r="B13" s="20" t="s">
        <v>471</v>
      </c>
      <c r="C13" s="19" t="s">
        <v>482</v>
      </c>
      <c r="D13" s="19" t="s">
        <v>484</v>
      </c>
      <c r="E13" s="92" t="s">
        <v>866</v>
      </c>
      <c r="F13" s="92" t="s">
        <v>501</v>
      </c>
      <c r="G13" s="20" t="s">
        <v>706</v>
      </c>
    </row>
    <row r="14" spans="1:7">
      <c r="A14" s="20" t="s">
        <v>500</v>
      </c>
      <c r="B14" s="20" t="s">
        <v>471</v>
      </c>
      <c r="C14" s="19" t="s">
        <v>490</v>
      </c>
      <c r="D14" s="19" t="s">
        <v>485</v>
      </c>
      <c r="E14" s="92" t="s">
        <v>866</v>
      </c>
      <c r="F14" s="92" t="s">
        <v>501</v>
      </c>
      <c r="G14" s="20" t="s">
        <v>706</v>
      </c>
    </row>
    <row r="15" spans="1:7">
      <c r="A15" s="20" t="s">
        <v>707</v>
      </c>
      <c r="B15" s="20" t="s">
        <v>708</v>
      </c>
      <c r="C15" s="19" t="s">
        <v>709</v>
      </c>
      <c r="D15" s="19" t="s">
        <v>710</v>
      </c>
      <c r="E15" s="92" t="s">
        <v>865</v>
      </c>
      <c r="F15" s="92" t="s">
        <v>501</v>
      </c>
      <c r="G15" s="20"/>
    </row>
    <row r="17" spans="1:5">
      <c r="A17" s="42" t="s">
        <v>518</v>
      </c>
    </row>
    <row r="18" spans="1:5">
      <c r="A18" s="47" t="s">
        <v>519</v>
      </c>
      <c r="B18" s="47" t="s">
        <v>520</v>
      </c>
      <c r="C18" s="19"/>
      <c r="D18" s="19"/>
      <c r="E18" s="19"/>
    </row>
    <row r="19" spans="1:5">
      <c r="A19" s="19"/>
      <c r="B19" s="47" t="s">
        <v>522</v>
      </c>
      <c r="C19" s="19" t="s">
        <v>524</v>
      </c>
      <c r="D19" s="19"/>
      <c r="E19" s="19"/>
    </row>
    <row r="20" spans="1:5">
      <c r="A20" s="19"/>
      <c r="B20" s="19"/>
      <c r="C20" s="67" t="s">
        <v>523</v>
      </c>
      <c r="D20" s="19" t="s">
        <v>610</v>
      </c>
      <c r="E20" s="19"/>
    </row>
    <row r="21" spans="1:5">
      <c r="A21" s="19"/>
      <c r="B21" s="19"/>
      <c r="C21" s="19"/>
      <c r="D21" s="19" t="s">
        <v>611</v>
      </c>
      <c r="E21" s="19" t="s">
        <v>526</v>
      </c>
    </row>
    <row r="22" spans="1:5">
      <c r="A22" s="19"/>
      <c r="B22" s="19"/>
      <c r="C22" s="19"/>
      <c r="D22" s="19"/>
      <c r="E22" s="19" t="s">
        <v>527</v>
      </c>
    </row>
    <row r="23" spans="1:5">
      <c r="A23" s="19"/>
      <c r="B23" s="19"/>
      <c r="C23" s="19"/>
      <c r="D23" s="19" t="s">
        <v>612</v>
      </c>
      <c r="E23" s="19" t="s">
        <v>528</v>
      </c>
    </row>
    <row r="24" spans="1:5">
      <c r="A24" s="19"/>
      <c r="B24" s="19"/>
      <c r="C24" s="19"/>
      <c r="D24" s="19"/>
      <c r="E24" s="19" t="s">
        <v>529</v>
      </c>
    </row>
    <row r="25" spans="1:5">
      <c r="A25" s="19"/>
      <c r="B25" s="19"/>
      <c r="C25" s="19"/>
      <c r="D25" s="19"/>
      <c r="E25" s="19" t="s">
        <v>530</v>
      </c>
    </row>
    <row r="26" spans="1:5">
      <c r="A26" s="19"/>
      <c r="B26" s="47" t="s">
        <v>521</v>
      </c>
      <c r="C26" s="19" t="s">
        <v>533</v>
      </c>
      <c r="D26" s="19"/>
      <c r="E26" s="19"/>
    </row>
    <row r="27" spans="1:5">
      <c r="A27" s="19"/>
      <c r="B27" s="19"/>
      <c r="C27" s="19" t="s">
        <v>531</v>
      </c>
      <c r="D27" s="19"/>
      <c r="E27" s="19"/>
    </row>
    <row r="28" spans="1:5">
      <c r="A28" s="19"/>
      <c r="B28" s="19"/>
      <c r="C28" s="19" t="s">
        <v>525</v>
      </c>
      <c r="D28" s="19"/>
      <c r="E28" s="19"/>
    </row>
    <row r="29" spans="1:5">
      <c r="A29" s="19"/>
      <c r="B29" s="19"/>
      <c r="C29" s="19" t="s">
        <v>532</v>
      </c>
      <c r="D29" s="19"/>
      <c r="E29" s="19"/>
    </row>
  </sheetData>
  <phoneticPr fontId="1" type="noConversion"/>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115" zoomScaleNormal="115" workbookViewId="0">
      <selection activeCell="D26" sqref="D26"/>
    </sheetView>
  </sheetViews>
  <sheetFormatPr defaultRowHeight="15"/>
  <sheetData>
    <row r="1" spans="1:1">
      <c r="A1" t="s">
        <v>403</v>
      </c>
    </row>
  </sheetData>
  <phoneticPr fontId="1" type="noConversion"/>
  <pageMargins left="0.7" right="0.7" top="0.75" bottom="0.75" header="0.3" footer="0.3"/>
  <pageSetup paperSize="9"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50"/>
  <sheetViews>
    <sheetView zoomScaleNormal="100" workbookViewId="0">
      <selection activeCell="M2" sqref="M2:M5"/>
    </sheetView>
  </sheetViews>
  <sheetFormatPr defaultRowHeight="15"/>
  <cols>
    <col min="1" max="1" width="15.140625" customWidth="1"/>
    <col min="2" max="2" width="9.5703125" bestFit="1" customWidth="1"/>
    <col min="3" max="3" width="13.7109375" customWidth="1"/>
    <col min="4" max="4" width="20.42578125" customWidth="1"/>
    <col min="5" max="5" width="1.85546875" hidden="1" customWidth="1"/>
    <col min="6" max="6" width="31.85546875" customWidth="1"/>
    <col min="7" max="7" width="34.42578125" customWidth="1"/>
    <col min="8" max="8" width="10.42578125" customWidth="1"/>
    <col min="9" max="9" width="11.140625" bestFit="1" customWidth="1"/>
    <col min="10" max="10" width="12.7109375" style="56" bestFit="1" customWidth="1"/>
    <col min="11" max="11" width="11.85546875" style="56" bestFit="1" customWidth="1"/>
    <col min="13" max="13" width="27.140625" customWidth="1"/>
    <col min="14" max="14" width="26.42578125" bestFit="1" customWidth="1"/>
    <col min="15" max="15" width="21.42578125" bestFit="1" customWidth="1"/>
    <col min="17" max="17" width="31.42578125" customWidth="1"/>
  </cols>
  <sheetData>
    <row r="1" spans="1:17">
      <c r="A1" s="26" t="s">
        <v>0</v>
      </c>
      <c r="B1" s="26" t="s">
        <v>291</v>
      </c>
      <c r="C1" s="26" t="s">
        <v>293</v>
      </c>
      <c r="D1" s="26" t="s">
        <v>286</v>
      </c>
      <c r="E1" s="26" t="s">
        <v>294</v>
      </c>
      <c r="F1" s="26" t="s">
        <v>287</v>
      </c>
      <c r="G1" s="26" t="s">
        <v>288</v>
      </c>
      <c r="H1" s="26" t="s">
        <v>307</v>
      </c>
      <c r="I1" s="55" t="s">
        <v>292</v>
      </c>
      <c r="J1" s="26" t="s">
        <v>559</v>
      </c>
      <c r="K1" s="26" t="s">
        <v>952</v>
      </c>
      <c r="M1" s="26" t="s">
        <v>406</v>
      </c>
      <c r="N1" s="162" t="s">
        <v>1353</v>
      </c>
    </row>
    <row r="2" spans="1:17" ht="16.5" customHeight="1">
      <c r="A2" s="243" t="s">
        <v>503</v>
      </c>
      <c r="B2" s="244" t="s">
        <v>505</v>
      </c>
      <c r="C2" s="243" t="s">
        <v>507</v>
      </c>
      <c r="D2" s="243" t="s">
        <v>555</v>
      </c>
      <c r="E2" s="8"/>
      <c r="F2" s="9" t="s">
        <v>309</v>
      </c>
      <c r="G2" s="9" t="s">
        <v>342</v>
      </c>
      <c r="H2" s="10">
        <v>1</v>
      </c>
      <c r="I2" s="151">
        <v>44043</v>
      </c>
      <c r="J2" s="10"/>
      <c r="K2" s="10"/>
      <c r="M2" s="19" t="s">
        <v>405</v>
      </c>
      <c r="N2" s="19"/>
    </row>
    <row r="3" spans="1:17">
      <c r="A3" s="217"/>
      <c r="B3" s="245"/>
      <c r="C3" s="247"/>
      <c r="D3" s="247"/>
      <c r="E3" s="11"/>
      <c r="F3" s="9" t="s">
        <v>310</v>
      </c>
      <c r="G3" s="9" t="s">
        <v>358</v>
      </c>
      <c r="H3" s="12"/>
      <c r="I3" s="151" t="s">
        <v>1209</v>
      </c>
      <c r="J3" s="10"/>
      <c r="K3" s="10"/>
      <c r="M3" s="19" t="s">
        <v>546</v>
      </c>
      <c r="N3" s="19"/>
    </row>
    <row r="4" spans="1:17">
      <c r="A4" s="217"/>
      <c r="B4" s="245"/>
      <c r="C4" s="247"/>
      <c r="D4" s="248"/>
      <c r="E4" s="11"/>
      <c r="F4" s="9" t="s">
        <v>311</v>
      </c>
      <c r="G4" s="9" t="s">
        <v>357</v>
      </c>
      <c r="H4" s="12" t="s">
        <v>962</v>
      </c>
      <c r="I4" s="151">
        <v>44074</v>
      </c>
      <c r="J4" s="10"/>
      <c r="K4" s="10"/>
      <c r="M4" s="158" t="s">
        <v>1290</v>
      </c>
      <c r="N4" s="19"/>
    </row>
    <row r="5" spans="1:17">
      <c r="A5" s="217"/>
      <c r="B5" s="245"/>
      <c r="C5" s="248"/>
      <c r="D5" s="46" t="s">
        <v>554</v>
      </c>
      <c r="E5" s="11"/>
      <c r="F5" s="9" t="s">
        <v>557</v>
      </c>
      <c r="G5" s="9" t="s">
        <v>556</v>
      </c>
      <c r="H5" s="12" t="s">
        <v>959</v>
      </c>
      <c r="I5" s="151">
        <v>44043</v>
      </c>
      <c r="J5" s="10" t="s">
        <v>560</v>
      </c>
      <c r="K5" s="10"/>
      <c r="M5" s="19" t="s">
        <v>1352</v>
      </c>
      <c r="N5" s="19"/>
    </row>
    <row r="6" spans="1:17">
      <c r="A6" s="217"/>
      <c r="B6" s="245"/>
      <c r="C6" s="243" t="s">
        <v>506</v>
      </c>
      <c r="D6" s="243" t="s">
        <v>510</v>
      </c>
      <c r="E6" s="11"/>
      <c r="F6" s="9" t="s">
        <v>312</v>
      </c>
      <c r="G6" s="13" t="s">
        <v>317</v>
      </c>
      <c r="H6" s="12" t="s">
        <v>960</v>
      </c>
      <c r="I6" s="151">
        <v>44043</v>
      </c>
      <c r="J6" s="10"/>
      <c r="K6" s="10"/>
    </row>
    <row r="7" spans="1:17">
      <c r="A7" s="217"/>
      <c r="B7" s="245"/>
      <c r="C7" s="247"/>
      <c r="D7" s="247"/>
      <c r="E7" s="11"/>
      <c r="F7" s="9" t="s">
        <v>313</v>
      </c>
      <c r="G7" s="13" t="s">
        <v>343</v>
      </c>
      <c r="H7" s="12">
        <v>1</v>
      </c>
      <c r="I7" s="151">
        <v>44043</v>
      </c>
      <c r="J7" s="10"/>
      <c r="K7" s="10"/>
    </row>
    <row r="8" spans="1:17">
      <c r="A8" s="217"/>
      <c r="B8" s="245"/>
      <c r="C8" s="247"/>
      <c r="D8" s="247"/>
      <c r="E8" s="11"/>
      <c r="F8" s="9" t="s">
        <v>314</v>
      </c>
      <c r="G8" s="13" t="s">
        <v>351</v>
      </c>
      <c r="H8" s="12">
        <v>1</v>
      </c>
      <c r="I8" s="151">
        <v>44043</v>
      </c>
      <c r="J8" s="10"/>
      <c r="K8" s="10"/>
    </row>
    <row r="9" spans="1:17">
      <c r="A9" s="217"/>
      <c r="B9" s="245"/>
      <c r="C9" s="247"/>
      <c r="D9" s="247"/>
      <c r="E9" s="8"/>
      <c r="F9" s="9" t="s">
        <v>344</v>
      </c>
      <c r="G9" s="9" t="s">
        <v>350</v>
      </c>
      <c r="H9" s="10">
        <v>1</v>
      </c>
      <c r="I9" s="151">
        <v>44043</v>
      </c>
      <c r="J9" s="10"/>
      <c r="K9" s="10"/>
    </row>
    <row r="10" spans="1:17">
      <c r="A10" s="217"/>
      <c r="B10" s="245"/>
      <c r="C10" s="247"/>
      <c r="D10" s="247"/>
      <c r="E10" s="8"/>
      <c r="F10" s="9" t="s">
        <v>345</v>
      </c>
      <c r="G10" s="9" t="s">
        <v>349</v>
      </c>
      <c r="H10" s="10">
        <v>1</v>
      </c>
      <c r="I10" s="151">
        <v>44043</v>
      </c>
      <c r="J10" s="10"/>
      <c r="K10" s="10"/>
    </row>
    <row r="11" spans="1:17">
      <c r="A11" s="217"/>
      <c r="B11" s="245"/>
      <c r="C11" s="247"/>
      <c r="D11" s="247"/>
      <c r="E11" s="8"/>
      <c r="F11" s="9" t="s">
        <v>315</v>
      </c>
      <c r="G11" s="9" t="s">
        <v>348</v>
      </c>
      <c r="H11" s="10">
        <v>1</v>
      </c>
      <c r="I11" s="151">
        <v>44043</v>
      </c>
      <c r="J11" s="10"/>
      <c r="K11" s="10"/>
    </row>
    <row r="12" spans="1:17" ht="16.5" customHeight="1">
      <c r="A12" s="217"/>
      <c r="B12" s="245"/>
      <c r="C12" s="247"/>
      <c r="D12" s="247"/>
      <c r="E12" s="8"/>
      <c r="F12" s="9" t="s">
        <v>346</v>
      </c>
      <c r="G12" s="9" t="s">
        <v>347</v>
      </c>
      <c r="H12" s="10">
        <v>1</v>
      </c>
      <c r="I12" s="151">
        <v>44043</v>
      </c>
      <c r="J12" s="10"/>
      <c r="K12" s="10"/>
    </row>
    <row r="13" spans="1:17" ht="30">
      <c r="A13" s="217"/>
      <c r="B13" s="245"/>
      <c r="C13" s="247"/>
      <c r="D13" s="247"/>
      <c r="E13" s="11"/>
      <c r="F13" s="9" t="s">
        <v>316</v>
      </c>
      <c r="G13" s="9" t="s">
        <v>352</v>
      </c>
      <c r="H13" s="12">
        <v>3</v>
      </c>
      <c r="I13" s="151"/>
      <c r="J13" s="10" t="s">
        <v>562</v>
      </c>
      <c r="K13" s="10"/>
      <c r="O13" s="101" t="s">
        <v>857</v>
      </c>
    </row>
    <row r="14" spans="1:17">
      <c r="A14" s="217"/>
      <c r="B14" s="245"/>
      <c r="C14" s="247"/>
      <c r="D14" s="248"/>
      <c r="E14" s="11"/>
      <c r="F14" s="9" t="s">
        <v>318</v>
      </c>
      <c r="G14" s="9" t="s">
        <v>353</v>
      </c>
      <c r="H14" s="12" t="s">
        <v>962</v>
      </c>
      <c r="I14" s="151" t="s">
        <v>1289</v>
      </c>
      <c r="J14" s="10"/>
      <c r="K14" s="10"/>
    </row>
    <row r="15" spans="1:17" ht="30">
      <c r="A15" s="217"/>
      <c r="B15" s="245"/>
      <c r="C15" s="247"/>
      <c r="D15" s="22" t="s">
        <v>511</v>
      </c>
      <c r="E15" s="11"/>
      <c r="F15" s="9" t="s">
        <v>341</v>
      </c>
      <c r="G15" s="9" t="s">
        <v>340</v>
      </c>
      <c r="H15" s="12">
        <v>1</v>
      </c>
      <c r="I15" s="151">
        <v>44043</v>
      </c>
      <c r="J15" s="10"/>
      <c r="K15" s="10"/>
      <c r="M15" s="251" t="s">
        <v>850</v>
      </c>
      <c r="N15" s="252"/>
      <c r="O15" s="114" t="s">
        <v>1249</v>
      </c>
      <c r="P15" s="91"/>
      <c r="Q15" s="91" t="s">
        <v>963</v>
      </c>
    </row>
    <row r="16" spans="1:17" ht="30">
      <c r="A16" s="217"/>
      <c r="B16" s="245"/>
      <c r="C16" s="243" t="s">
        <v>508</v>
      </c>
      <c r="D16" s="243" t="s">
        <v>512</v>
      </c>
      <c r="E16" s="11"/>
      <c r="F16" s="9" t="s">
        <v>362</v>
      </c>
      <c r="G16" s="13" t="s">
        <v>359</v>
      </c>
      <c r="H16" s="12">
        <v>1</v>
      </c>
      <c r="I16" s="151">
        <v>44043</v>
      </c>
      <c r="J16" s="10"/>
      <c r="K16" s="10"/>
      <c r="M16" s="99" t="s">
        <v>362</v>
      </c>
      <c r="N16" s="98" t="s">
        <v>359</v>
      </c>
      <c r="O16" s="99" t="s">
        <v>1250</v>
      </c>
      <c r="P16" s="102">
        <v>1</v>
      </c>
      <c r="Q16" s="91" t="s">
        <v>852</v>
      </c>
    </row>
    <row r="17" spans="1:17">
      <c r="A17" s="217"/>
      <c r="B17" s="245"/>
      <c r="C17" s="247"/>
      <c r="D17" s="247"/>
      <c r="E17" s="19"/>
      <c r="F17" s="9" t="s">
        <v>363</v>
      </c>
      <c r="G17" s="13" t="s">
        <v>360</v>
      </c>
      <c r="H17" s="12">
        <v>1</v>
      </c>
      <c r="I17" s="151">
        <v>44043</v>
      </c>
      <c r="J17" s="10"/>
      <c r="K17" s="10"/>
      <c r="M17" s="99" t="s">
        <v>331</v>
      </c>
      <c r="N17" s="98" t="s">
        <v>364</v>
      </c>
      <c r="O17" s="99" t="s">
        <v>1254</v>
      </c>
      <c r="P17" s="103">
        <v>1</v>
      </c>
    </row>
    <row r="18" spans="1:17">
      <c r="A18" s="217"/>
      <c r="B18" s="245"/>
      <c r="C18" s="247"/>
      <c r="D18" s="247"/>
      <c r="E18" s="19"/>
      <c r="F18" s="48" t="s">
        <v>558</v>
      </c>
      <c r="G18" s="13" t="s">
        <v>965</v>
      </c>
      <c r="H18" s="10">
        <v>1</v>
      </c>
      <c r="I18" s="151">
        <v>44043</v>
      </c>
      <c r="J18" s="10" t="s">
        <v>561</v>
      </c>
      <c r="K18" s="10"/>
      <c r="M18" s="99" t="s">
        <v>332</v>
      </c>
      <c r="N18" s="98" t="s">
        <v>365</v>
      </c>
      <c r="O18" s="99" t="s">
        <v>1254</v>
      </c>
      <c r="P18" s="103">
        <v>1</v>
      </c>
    </row>
    <row r="19" spans="1:17">
      <c r="A19" s="217"/>
      <c r="B19" s="245"/>
      <c r="C19" s="247"/>
      <c r="D19" s="247"/>
      <c r="E19" s="8"/>
      <c r="F19" s="9" t="s">
        <v>331</v>
      </c>
      <c r="G19" s="13" t="s">
        <v>364</v>
      </c>
      <c r="H19" s="10">
        <v>1</v>
      </c>
      <c r="I19" s="151">
        <v>44043</v>
      </c>
      <c r="J19" s="10"/>
      <c r="K19" s="10"/>
      <c r="M19" s="99" t="s">
        <v>334</v>
      </c>
      <c r="N19" s="98" t="s">
        <v>367</v>
      </c>
      <c r="O19" s="99" t="s">
        <v>1254</v>
      </c>
      <c r="P19" s="104">
        <v>1</v>
      </c>
      <c r="Q19" s="91"/>
    </row>
    <row r="20" spans="1:17">
      <c r="A20" s="217"/>
      <c r="B20" s="245"/>
      <c r="C20" s="247"/>
      <c r="D20" s="247"/>
      <c r="E20" s="8"/>
      <c r="F20" s="9" t="s">
        <v>332</v>
      </c>
      <c r="G20" s="13" t="s">
        <v>365</v>
      </c>
      <c r="H20" s="10">
        <v>1</v>
      </c>
      <c r="I20" s="151">
        <v>44043</v>
      </c>
      <c r="J20" s="10"/>
      <c r="K20" s="10"/>
      <c r="M20" s="99" t="s">
        <v>335</v>
      </c>
      <c r="N20" s="98" t="s">
        <v>1274</v>
      </c>
      <c r="O20" s="99" t="s">
        <v>1254</v>
      </c>
      <c r="P20" s="103">
        <v>2</v>
      </c>
      <c r="Q20" s="91"/>
    </row>
    <row r="21" spans="1:17" ht="16.5" customHeight="1">
      <c r="A21" s="217"/>
      <c r="B21" s="245"/>
      <c r="C21" s="247"/>
      <c r="D21" s="247"/>
      <c r="E21" s="14"/>
      <c r="F21" s="9" t="s">
        <v>333</v>
      </c>
      <c r="G21" s="13" t="s">
        <v>366</v>
      </c>
      <c r="H21" s="16">
        <v>3</v>
      </c>
      <c r="I21" s="151"/>
      <c r="J21" s="10" t="s">
        <v>562</v>
      </c>
      <c r="K21" s="10"/>
      <c r="M21" s="99" t="s">
        <v>855</v>
      </c>
      <c r="N21" s="98" t="s">
        <v>360</v>
      </c>
      <c r="O21" s="99" t="s">
        <v>1260</v>
      </c>
      <c r="P21" s="102">
        <v>1</v>
      </c>
      <c r="Q21" s="91" t="s">
        <v>853</v>
      </c>
    </row>
    <row r="22" spans="1:17">
      <c r="A22" s="217"/>
      <c r="B22" s="245"/>
      <c r="C22" s="247"/>
      <c r="D22" s="247"/>
      <c r="E22" s="14"/>
      <c r="F22" s="9" t="s">
        <v>334</v>
      </c>
      <c r="G22" s="13" t="s">
        <v>367</v>
      </c>
      <c r="H22" s="16">
        <v>1</v>
      </c>
      <c r="I22" s="151">
        <v>44043</v>
      </c>
      <c r="J22" s="10"/>
      <c r="K22" s="10"/>
      <c r="M22" s="100" t="s">
        <v>854</v>
      </c>
      <c r="N22" s="98" t="s">
        <v>361</v>
      </c>
      <c r="O22" s="99" t="s">
        <v>81</v>
      </c>
      <c r="P22" s="103">
        <v>1</v>
      </c>
      <c r="Q22" s="91" t="s">
        <v>856</v>
      </c>
    </row>
    <row r="23" spans="1:17">
      <c r="A23" s="217"/>
      <c r="B23" s="245"/>
      <c r="C23" s="247"/>
      <c r="D23" s="247"/>
      <c r="E23" s="14"/>
      <c r="F23" s="9" t="s">
        <v>335</v>
      </c>
      <c r="G23" s="13" t="s">
        <v>368</v>
      </c>
      <c r="H23" s="16">
        <v>2</v>
      </c>
      <c r="I23" s="151">
        <v>44074</v>
      </c>
      <c r="J23" s="10"/>
      <c r="K23" s="10"/>
      <c r="M23" s="99" t="s">
        <v>338</v>
      </c>
      <c r="N23" s="98" t="s">
        <v>371</v>
      </c>
      <c r="O23" s="99" t="s">
        <v>81</v>
      </c>
      <c r="P23" s="155" t="s">
        <v>961</v>
      </c>
      <c r="Q23" s="150" t="s">
        <v>1275</v>
      </c>
    </row>
    <row r="24" spans="1:17">
      <c r="A24" s="217"/>
      <c r="B24" s="245"/>
      <c r="C24" s="247"/>
      <c r="D24" s="247"/>
      <c r="E24" s="8"/>
      <c r="F24" s="9" t="s">
        <v>1272</v>
      </c>
      <c r="G24" s="13" t="s">
        <v>369</v>
      </c>
      <c r="H24" s="10">
        <v>2</v>
      </c>
      <c r="I24" s="151">
        <v>44074</v>
      </c>
      <c r="J24" s="10"/>
      <c r="K24" s="10"/>
      <c r="M24" s="149" t="s">
        <v>1271</v>
      </c>
      <c r="N24" s="98" t="s">
        <v>370</v>
      </c>
      <c r="O24" s="99" t="s">
        <v>81</v>
      </c>
      <c r="P24" s="104">
        <v>1</v>
      </c>
      <c r="Q24" s="91"/>
    </row>
    <row r="25" spans="1:17">
      <c r="A25" s="217"/>
      <c r="B25" s="245"/>
      <c r="C25" s="247"/>
      <c r="D25" s="247"/>
      <c r="E25" s="8"/>
      <c r="F25" s="9" t="s">
        <v>372</v>
      </c>
      <c r="G25" s="13" t="s">
        <v>373</v>
      </c>
      <c r="H25" s="10">
        <v>3</v>
      </c>
      <c r="I25" s="151"/>
      <c r="J25" s="10" t="s">
        <v>562</v>
      </c>
      <c r="K25" s="10"/>
      <c r="M25" s="99" t="s">
        <v>336</v>
      </c>
      <c r="N25" s="98" t="s">
        <v>369</v>
      </c>
      <c r="O25" s="99" t="s">
        <v>1254</v>
      </c>
      <c r="P25" s="103">
        <v>2</v>
      </c>
      <c r="Q25" s="91"/>
    </row>
    <row r="26" spans="1:17">
      <c r="A26" s="217"/>
      <c r="B26" s="245"/>
      <c r="C26" s="247"/>
      <c r="D26" s="247"/>
      <c r="E26" s="8"/>
      <c r="F26" s="9" t="s">
        <v>337</v>
      </c>
      <c r="G26" s="13" t="s">
        <v>374</v>
      </c>
      <c r="H26" s="10" t="s">
        <v>962</v>
      </c>
      <c r="I26" s="151"/>
      <c r="J26" s="10"/>
      <c r="K26" s="10"/>
      <c r="M26" s="99" t="s">
        <v>337</v>
      </c>
      <c r="N26" s="98" t="s">
        <v>374</v>
      </c>
      <c r="O26" s="99" t="s">
        <v>81</v>
      </c>
      <c r="P26" s="99">
        <v>2</v>
      </c>
      <c r="Q26" s="91"/>
    </row>
    <row r="27" spans="1:17">
      <c r="A27" s="217"/>
      <c r="B27" s="245"/>
      <c r="C27" s="247"/>
      <c r="D27" s="247"/>
      <c r="E27" s="8"/>
      <c r="F27" s="9" t="s">
        <v>338</v>
      </c>
      <c r="G27" s="13" t="s">
        <v>371</v>
      </c>
      <c r="H27" s="119" t="s">
        <v>1288</v>
      </c>
      <c r="I27" s="151" t="s">
        <v>1323</v>
      </c>
      <c r="J27" s="10"/>
      <c r="K27" s="10"/>
      <c r="M27" s="99" t="s">
        <v>333</v>
      </c>
      <c r="N27" s="98" t="s">
        <v>366</v>
      </c>
      <c r="O27" s="99" t="s">
        <v>1254</v>
      </c>
      <c r="P27" s="98">
        <v>3</v>
      </c>
      <c r="Q27" s="91"/>
    </row>
    <row r="28" spans="1:17">
      <c r="A28" s="217"/>
      <c r="B28" s="245"/>
      <c r="C28" s="247"/>
      <c r="D28" s="247"/>
      <c r="E28" s="8"/>
      <c r="F28" s="121" t="s">
        <v>964</v>
      </c>
      <c r="G28" s="13" t="s">
        <v>370</v>
      </c>
      <c r="H28" s="10">
        <v>1</v>
      </c>
      <c r="I28" s="151">
        <v>44043</v>
      </c>
      <c r="J28" s="10"/>
      <c r="K28" s="10"/>
      <c r="M28" s="99" t="s">
        <v>372</v>
      </c>
      <c r="N28" s="99" t="s">
        <v>373</v>
      </c>
      <c r="O28" s="99" t="s">
        <v>1254</v>
      </c>
      <c r="P28" s="99">
        <v>3</v>
      </c>
      <c r="Q28" s="91"/>
    </row>
    <row r="29" spans="1:17">
      <c r="A29" s="217"/>
      <c r="B29" s="245"/>
      <c r="C29" s="247"/>
      <c r="D29" s="247"/>
      <c r="E29" s="8"/>
      <c r="F29" s="9" t="s">
        <v>954</v>
      </c>
      <c r="G29" s="9" t="s">
        <v>955</v>
      </c>
      <c r="H29" s="16" t="s">
        <v>962</v>
      </c>
      <c r="I29" s="151" t="s">
        <v>1323</v>
      </c>
      <c r="J29" s="10"/>
      <c r="K29" s="10" t="s">
        <v>953</v>
      </c>
    </row>
    <row r="30" spans="1:17">
      <c r="A30" s="217"/>
      <c r="B30" s="245"/>
      <c r="C30" s="247"/>
      <c r="D30" s="248"/>
      <c r="E30" s="8"/>
      <c r="F30" s="49" t="s">
        <v>323</v>
      </c>
      <c r="G30" s="49" t="s">
        <v>356</v>
      </c>
      <c r="H30" s="113">
        <v>3</v>
      </c>
      <c r="I30" s="151" t="s">
        <v>1323</v>
      </c>
      <c r="J30" s="10"/>
      <c r="K30" s="249" t="s">
        <v>958</v>
      </c>
      <c r="M30" s="101" t="s">
        <v>1252</v>
      </c>
      <c r="N30" s="101" t="s">
        <v>1253</v>
      </c>
      <c r="O30" t="s">
        <v>1251</v>
      </c>
      <c r="P30" t="s">
        <v>1261</v>
      </c>
    </row>
    <row r="31" spans="1:17">
      <c r="A31" s="217"/>
      <c r="B31" s="245"/>
      <c r="C31" s="247"/>
      <c r="D31" s="243" t="s">
        <v>517</v>
      </c>
      <c r="E31" s="8"/>
      <c r="F31" s="9" t="s">
        <v>324</v>
      </c>
      <c r="G31" s="9" t="s">
        <v>354</v>
      </c>
      <c r="H31" s="16">
        <v>1</v>
      </c>
      <c r="I31" s="151">
        <v>44043</v>
      </c>
      <c r="J31" s="10"/>
      <c r="K31" s="253"/>
    </row>
    <row r="32" spans="1:17" ht="16.5" customHeight="1">
      <c r="A32" s="217"/>
      <c r="B32" s="245"/>
      <c r="C32" s="247"/>
      <c r="D32" s="247"/>
      <c r="E32" s="8"/>
      <c r="F32" s="9" t="s">
        <v>325</v>
      </c>
      <c r="G32" s="9" t="s">
        <v>355</v>
      </c>
      <c r="H32" s="16">
        <v>1</v>
      </c>
      <c r="I32" s="151">
        <v>44043</v>
      </c>
      <c r="J32" s="10"/>
      <c r="K32" s="253"/>
      <c r="M32" s="147" t="s">
        <v>1268</v>
      </c>
    </row>
    <row r="33" spans="1:15" ht="16.5" customHeight="1">
      <c r="A33" s="217"/>
      <c r="B33" s="245"/>
      <c r="C33" s="247"/>
      <c r="D33" s="247"/>
      <c r="E33" s="8"/>
      <c r="F33" s="9" t="s">
        <v>956</v>
      </c>
      <c r="G33" s="9" t="s">
        <v>957</v>
      </c>
      <c r="H33" s="16">
        <v>2</v>
      </c>
      <c r="I33" s="151">
        <v>44043</v>
      </c>
      <c r="J33" s="10" t="s">
        <v>953</v>
      </c>
      <c r="K33" s="254"/>
      <c r="M33" s="148" t="s">
        <v>1269</v>
      </c>
      <c r="N33" s="5" t="s">
        <v>1270</v>
      </c>
      <c r="O33" t="s">
        <v>1273</v>
      </c>
    </row>
    <row r="34" spans="1:15" ht="16.5" customHeight="1">
      <c r="A34" s="217"/>
      <c r="B34" s="245"/>
      <c r="C34" s="247"/>
      <c r="D34" s="247"/>
      <c r="E34" s="8"/>
      <c r="F34" s="9" t="s">
        <v>1266</v>
      </c>
      <c r="G34" s="9" t="s">
        <v>1267</v>
      </c>
      <c r="H34" s="118">
        <v>2</v>
      </c>
      <c r="I34" s="151">
        <v>44074</v>
      </c>
      <c r="J34" s="10"/>
      <c r="K34" s="10" t="s">
        <v>953</v>
      </c>
    </row>
    <row r="35" spans="1:15">
      <c r="A35" s="217"/>
      <c r="B35" s="245"/>
      <c r="C35" s="248"/>
      <c r="D35" s="248"/>
      <c r="E35" s="8"/>
      <c r="F35" s="49" t="s">
        <v>322</v>
      </c>
      <c r="G35" s="49" t="s">
        <v>321</v>
      </c>
      <c r="H35" s="50">
        <v>3</v>
      </c>
      <c r="I35" s="151" t="s">
        <v>1323</v>
      </c>
      <c r="J35" s="10"/>
      <c r="K35" s="10"/>
    </row>
    <row r="36" spans="1:15">
      <c r="A36" s="217"/>
      <c r="B36" s="245"/>
      <c r="C36" s="243" t="s">
        <v>339</v>
      </c>
      <c r="D36" s="243" t="s">
        <v>516</v>
      </c>
      <c r="E36" s="8"/>
      <c r="F36" s="9" t="s">
        <v>308</v>
      </c>
      <c r="G36" s="9" t="s">
        <v>376</v>
      </c>
      <c r="H36" s="16">
        <v>1</v>
      </c>
      <c r="I36" s="151">
        <v>44043</v>
      </c>
      <c r="J36" s="10"/>
      <c r="K36" s="10"/>
    </row>
    <row r="37" spans="1:15">
      <c r="A37" s="217"/>
      <c r="B37" s="246"/>
      <c r="C37" s="248"/>
      <c r="D37" s="248"/>
      <c r="E37" s="8"/>
      <c r="F37" s="9" t="s">
        <v>330</v>
      </c>
      <c r="G37" s="9" t="s">
        <v>375</v>
      </c>
      <c r="H37" s="120" t="s">
        <v>962</v>
      </c>
      <c r="I37" s="151"/>
      <c r="J37" s="10"/>
      <c r="K37" s="10"/>
    </row>
    <row r="38" spans="1:15">
      <c r="A38" s="217"/>
      <c r="B38" s="29" t="s">
        <v>327</v>
      </c>
      <c r="C38" s="27" t="s">
        <v>329</v>
      </c>
      <c r="D38" s="27" t="s">
        <v>329</v>
      </c>
      <c r="E38" s="28"/>
      <c r="F38" s="27" t="s">
        <v>329</v>
      </c>
      <c r="G38" s="10" t="s">
        <v>328</v>
      </c>
      <c r="H38" s="16" t="s">
        <v>329</v>
      </c>
      <c r="I38" s="151"/>
      <c r="J38" s="10"/>
      <c r="K38" s="10"/>
    </row>
    <row r="39" spans="1:15" ht="16.5" customHeight="1">
      <c r="A39" s="217"/>
      <c r="B39" s="244" t="s">
        <v>504</v>
      </c>
      <c r="C39" s="243" t="s">
        <v>509</v>
      </c>
      <c r="D39" s="243" t="s">
        <v>515</v>
      </c>
      <c r="E39" s="8" t="s">
        <v>295</v>
      </c>
      <c r="F39" s="9" t="s">
        <v>296</v>
      </c>
      <c r="G39" s="9" t="s">
        <v>303</v>
      </c>
      <c r="H39" s="10">
        <v>2</v>
      </c>
      <c r="I39" s="151" t="s">
        <v>1322</v>
      </c>
      <c r="J39" s="10"/>
      <c r="K39" s="10"/>
    </row>
    <row r="40" spans="1:15" ht="16.5" customHeight="1">
      <c r="A40" s="217"/>
      <c r="B40" s="245"/>
      <c r="C40" s="217"/>
      <c r="D40" s="217"/>
      <c r="E40" s="17"/>
      <c r="F40" s="9" t="s">
        <v>304</v>
      </c>
      <c r="G40" s="15" t="s">
        <v>306</v>
      </c>
      <c r="H40" s="16">
        <v>1</v>
      </c>
      <c r="I40" s="151">
        <v>44043</v>
      </c>
      <c r="J40" s="10"/>
      <c r="K40" s="10"/>
    </row>
    <row r="41" spans="1:15" ht="16.5" customHeight="1">
      <c r="A41" s="217"/>
      <c r="B41" s="245"/>
      <c r="C41" s="217"/>
      <c r="D41" s="217"/>
      <c r="E41" s="17"/>
      <c r="F41" s="9" t="s">
        <v>305</v>
      </c>
      <c r="G41" s="15" t="s">
        <v>319</v>
      </c>
      <c r="H41" s="16">
        <v>1</v>
      </c>
      <c r="I41" s="151">
        <v>44043</v>
      </c>
      <c r="J41" s="10"/>
      <c r="K41" s="10"/>
    </row>
    <row r="42" spans="1:15">
      <c r="A42" s="217"/>
      <c r="B42" s="245"/>
      <c r="C42" s="217"/>
      <c r="D42" s="218"/>
      <c r="E42" s="17"/>
      <c r="F42" s="9" t="s">
        <v>305</v>
      </c>
      <c r="G42" s="15" t="s">
        <v>320</v>
      </c>
      <c r="H42" s="16">
        <v>2</v>
      </c>
      <c r="I42" s="151">
        <v>44074</v>
      </c>
      <c r="J42" s="10"/>
      <c r="K42" s="10"/>
    </row>
    <row r="43" spans="1:15" ht="16.5" customHeight="1">
      <c r="A43" s="217"/>
      <c r="B43" s="245"/>
      <c r="C43" s="217"/>
      <c r="D43" s="243" t="s">
        <v>514</v>
      </c>
      <c r="E43" s="8"/>
      <c r="F43" s="9" t="s">
        <v>297</v>
      </c>
      <c r="G43" s="9" t="s">
        <v>298</v>
      </c>
      <c r="H43" s="10" t="s">
        <v>960</v>
      </c>
      <c r="I43" s="151">
        <v>44043</v>
      </c>
      <c r="J43" s="10"/>
      <c r="K43" s="249" t="s">
        <v>1155</v>
      </c>
    </row>
    <row r="44" spans="1:15">
      <c r="A44" s="217"/>
      <c r="B44" s="245"/>
      <c r="C44" s="217"/>
      <c r="D44" s="218"/>
      <c r="E44" s="8"/>
      <c r="F44" s="9" t="s">
        <v>289</v>
      </c>
      <c r="G44" s="9" t="s">
        <v>299</v>
      </c>
      <c r="H44" s="10" t="s">
        <v>960</v>
      </c>
      <c r="I44" s="151">
        <v>44043</v>
      </c>
      <c r="J44" s="10"/>
      <c r="K44" s="250"/>
    </row>
    <row r="45" spans="1:15">
      <c r="A45" s="217"/>
      <c r="B45" s="245"/>
      <c r="C45" s="217"/>
      <c r="D45" s="243" t="s">
        <v>513</v>
      </c>
      <c r="E45" s="8"/>
      <c r="F45" s="9" t="s">
        <v>290</v>
      </c>
      <c r="G45" s="9" t="s">
        <v>300</v>
      </c>
      <c r="H45" s="10" t="s">
        <v>962</v>
      </c>
      <c r="I45" s="151"/>
      <c r="J45" s="10"/>
      <c r="K45" s="10"/>
    </row>
    <row r="46" spans="1:15">
      <c r="A46" s="218"/>
      <c r="B46" s="246"/>
      <c r="C46" s="218"/>
      <c r="D46" s="218"/>
      <c r="E46" s="8"/>
      <c r="F46" s="9" t="s">
        <v>301</v>
      </c>
      <c r="G46" s="9" t="s">
        <v>302</v>
      </c>
      <c r="H46" s="10" t="s">
        <v>962</v>
      </c>
      <c r="I46" s="151"/>
      <c r="J46" s="10"/>
      <c r="K46" s="10"/>
    </row>
    <row r="48" spans="1:15">
      <c r="H48" s="156" t="s">
        <v>1324</v>
      </c>
      <c r="I48">
        <f>COUNTA($I$2:$I$46)</f>
        <v>37</v>
      </c>
      <c r="J48" s="157">
        <f>I48/$I$50</f>
        <v>0.82222222222222219</v>
      </c>
    </row>
    <row r="49" spans="8:10">
      <c r="H49" s="156" t="s">
        <v>1325</v>
      </c>
      <c r="I49">
        <f>COUNTBLANK($I$2:$I$46)</f>
        <v>8</v>
      </c>
      <c r="J49" s="157">
        <f>I49/$I$50</f>
        <v>0.17777777777777778</v>
      </c>
    </row>
    <row r="50" spans="8:10">
      <c r="H50" s="156" t="s">
        <v>851</v>
      </c>
      <c r="I50">
        <f>SUM(I48:I49)</f>
        <v>45</v>
      </c>
    </row>
  </sheetData>
  <sortState xmlns:xlrd2="http://schemas.microsoft.com/office/spreadsheetml/2017/richdata2" ref="M16:P28">
    <sortCondition ref="P16:P28"/>
  </sortState>
  <mergeCells count="19">
    <mergeCell ref="K43:K44"/>
    <mergeCell ref="M15:N15"/>
    <mergeCell ref="D16:D30"/>
    <mergeCell ref="K30:K33"/>
    <mergeCell ref="C2:C5"/>
    <mergeCell ref="C6:C15"/>
    <mergeCell ref="A2:A46"/>
    <mergeCell ref="D43:D44"/>
    <mergeCell ref="D45:D46"/>
    <mergeCell ref="B39:B46"/>
    <mergeCell ref="C39:C46"/>
    <mergeCell ref="D39:D42"/>
    <mergeCell ref="B2:B37"/>
    <mergeCell ref="C16:C35"/>
    <mergeCell ref="C36:C37"/>
    <mergeCell ref="D31:D35"/>
    <mergeCell ref="D36:D37"/>
    <mergeCell ref="D2:D4"/>
    <mergeCell ref="D6:D14"/>
  </mergeCells>
  <phoneticPr fontId="1" type="noConversion"/>
  <pageMargins left="0.7" right="0.7" top="0.75" bottom="0.75" header="0.3" footer="0.3"/>
  <pageSetup paperSize="9" scale="6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3B312-1FF5-48BB-A2F4-8C3780BC6634}">
  <dimension ref="A1:M16"/>
  <sheetViews>
    <sheetView workbookViewId="0">
      <selection activeCell="B18" sqref="B18"/>
    </sheetView>
  </sheetViews>
  <sheetFormatPr defaultRowHeight="15"/>
  <cols>
    <col min="2" max="2" width="16" customWidth="1"/>
    <col min="3" max="3" width="23.28515625" bestFit="1" customWidth="1"/>
    <col min="4" max="4" width="14.42578125" bestFit="1" customWidth="1"/>
  </cols>
  <sheetData>
    <row r="1" spans="1:13">
      <c r="B1" t="s">
        <v>1400</v>
      </c>
      <c r="F1" t="s">
        <v>1425</v>
      </c>
    </row>
    <row r="2" spans="1:13">
      <c r="A2">
        <v>1</v>
      </c>
      <c r="B2" t="s">
        <v>1401</v>
      </c>
      <c r="F2">
        <v>0</v>
      </c>
      <c r="G2" t="s">
        <v>1411</v>
      </c>
    </row>
    <row r="3" spans="1:13">
      <c r="A3">
        <v>2</v>
      </c>
      <c r="B3" t="s">
        <v>1402</v>
      </c>
      <c r="F3">
        <v>1</v>
      </c>
      <c r="G3" t="s">
        <v>1408</v>
      </c>
    </row>
    <row r="4" spans="1:13">
      <c r="A4">
        <v>3</v>
      </c>
      <c r="B4" t="s">
        <v>1413</v>
      </c>
      <c r="F4">
        <v>2</v>
      </c>
      <c r="G4" t="s">
        <v>1403</v>
      </c>
      <c r="H4" t="s">
        <v>1412</v>
      </c>
      <c r="K4" t="s">
        <v>1414</v>
      </c>
    </row>
    <row r="5" spans="1:13">
      <c r="A5">
        <v>4</v>
      </c>
      <c r="B5" t="s">
        <v>1419</v>
      </c>
      <c r="C5" s="171" t="s">
        <v>405</v>
      </c>
      <c r="D5" s="171" t="s">
        <v>1423</v>
      </c>
      <c r="F5">
        <v>3</v>
      </c>
      <c r="G5" t="s">
        <v>1404</v>
      </c>
      <c r="H5" t="s">
        <v>1412</v>
      </c>
      <c r="K5" t="s">
        <v>1415</v>
      </c>
      <c r="M5" t="s">
        <v>1424</v>
      </c>
    </row>
    <row r="6" spans="1:13">
      <c r="C6" s="171" t="s">
        <v>546</v>
      </c>
      <c r="D6" s="171"/>
      <c r="F6">
        <v>4</v>
      </c>
    </row>
    <row r="7" spans="1:13">
      <c r="C7" s="171" t="s">
        <v>1290</v>
      </c>
      <c r="D7" s="171"/>
    </row>
    <row r="8" spans="1:13">
      <c r="C8" s="171" t="s">
        <v>1352</v>
      </c>
      <c r="D8" s="171"/>
      <c r="F8">
        <v>5</v>
      </c>
      <c r="G8" t="s">
        <v>1405</v>
      </c>
      <c r="H8" t="s">
        <v>1406</v>
      </c>
    </row>
    <row r="9" spans="1:13">
      <c r="A9">
        <v>5</v>
      </c>
      <c r="B9" t="s">
        <v>1420</v>
      </c>
      <c r="C9" s="171" t="s">
        <v>1398</v>
      </c>
      <c r="F9">
        <v>6</v>
      </c>
      <c r="G9" t="s">
        <v>1407</v>
      </c>
    </row>
    <row r="10" spans="1:13">
      <c r="C10" s="171" t="s">
        <v>1421</v>
      </c>
      <c r="F10">
        <v>7</v>
      </c>
      <c r="G10" t="s">
        <v>1409</v>
      </c>
    </row>
    <row r="11" spans="1:13">
      <c r="C11" s="171" t="s">
        <v>1422</v>
      </c>
      <c r="F11">
        <v>8</v>
      </c>
      <c r="G11" t="s">
        <v>1410</v>
      </c>
    </row>
    <row r="12" spans="1:13">
      <c r="A12">
        <v>6</v>
      </c>
      <c r="B12" t="s">
        <v>1426</v>
      </c>
    </row>
    <row r="13" spans="1:13">
      <c r="A13">
        <v>7</v>
      </c>
      <c r="B13" t="s">
        <v>1427</v>
      </c>
      <c r="C13" t="s">
        <v>1428</v>
      </c>
    </row>
    <row r="15" spans="1:13">
      <c r="A15">
        <v>8</v>
      </c>
      <c r="B15" t="s">
        <v>1416</v>
      </c>
      <c r="C15" t="s">
        <v>1417</v>
      </c>
    </row>
    <row r="16" spans="1:13">
      <c r="A16">
        <v>9</v>
      </c>
      <c r="B16" t="s">
        <v>1418</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4"/>
  <sheetViews>
    <sheetView topLeftCell="A26" zoomScale="115" zoomScaleNormal="115" workbookViewId="0">
      <selection activeCell="P35" sqref="P35"/>
    </sheetView>
  </sheetViews>
  <sheetFormatPr defaultRowHeight="15"/>
  <cols>
    <col min="11" max="11" width="7.42578125" bestFit="1" customWidth="1"/>
  </cols>
  <sheetData>
    <row r="1" spans="1:2">
      <c r="A1" s="5" t="s">
        <v>1291</v>
      </c>
      <c r="B1" t="s">
        <v>1292</v>
      </c>
    </row>
    <row r="22" spans="1:18">
      <c r="L22" t="s">
        <v>1340</v>
      </c>
    </row>
    <row r="28" spans="1:18">
      <c r="A28" s="5" t="s">
        <v>1293</v>
      </c>
      <c r="B28" t="s">
        <v>1294</v>
      </c>
      <c r="C28" t="s">
        <v>1295</v>
      </c>
      <c r="K28" t="s">
        <v>1326</v>
      </c>
      <c r="L28" t="s">
        <v>1327</v>
      </c>
    </row>
    <row r="29" spans="1:18">
      <c r="A29" t="s">
        <v>1296</v>
      </c>
      <c r="K29">
        <v>1</v>
      </c>
      <c r="L29" t="s">
        <v>1328</v>
      </c>
    </row>
    <row r="30" spans="1:18">
      <c r="A30" t="s">
        <v>1297</v>
      </c>
      <c r="K30">
        <v>2</v>
      </c>
      <c r="L30" t="s">
        <v>1329</v>
      </c>
      <c r="R30" t="s">
        <v>1333</v>
      </c>
    </row>
    <row r="31" spans="1:18">
      <c r="B31" t="s">
        <v>1298</v>
      </c>
      <c r="K31">
        <v>3</v>
      </c>
      <c r="L31" t="s">
        <v>1330</v>
      </c>
    </row>
    <row r="32" spans="1:18">
      <c r="A32" t="s">
        <v>1299</v>
      </c>
      <c r="L32" t="s">
        <v>1331</v>
      </c>
      <c r="Q32" t="s">
        <v>1351</v>
      </c>
    </row>
    <row r="33" spans="1:20">
      <c r="A33" t="s">
        <v>1300</v>
      </c>
      <c r="L33" t="s">
        <v>1332</v>
      </c>
    </row>
    <row r="34" spans="1:20">
      <c r="A34" t="s">
        <v>1301</v>
      </c>
      <c r="L34" t="s">
        <v>1339</v>
      </c>
      <c r="P34" s="161" t="s">
        <v>1324</v>
      </c>
      <c r="Q34" t="s">
        <v>1347</v>
      </c>
      <c r="S34" t="s">
        <v>1349</v>
      </c>
      <c r="T34" t="s">
        <v>1350</v>
      </c>
    </row>
    <row r="35" spans="1:20">
      <c r="A35" t="s">
        <v>1302</v>
      </c>
      <c r="K35">
        <v>4</v>
      </c>
      <c r="L35" t="s">
        <v>1334</v>
      </c>
      <c r="Q35" t="s">
        <v>1348</v>
      </c>
      <c r="S35" t="s">
        <v>1349</v>
      </c>
    </row>
    <row r="36" spans="1:20">
      <c r="A36" t="s">
        <v>1303</v>
      </c>
      <c r="L36" t="s">
        <v>1335</v>
      </c>
    </row>
    <row r="37" spans="1:20">
      <c r="A37" t="s">
        <v>1304</v>
      </c>
      <c r="L37" s="159" t="s">
        <v>1336</v>
      </c>
    </row>
    <row r="38" spans="1:20">
      <c r="A38" t="s">
        <v>1305</v>
      </c>
      <c r="K38">
        <v>5</v>
      </c>
      <c r="L38" t="s">
        <v>1337</v>
      </c>
    </row>
    <row r="39" spans="1:20">
      <c r="A39" t="s">
        <v>1306</v>
      </c>
      <c r="K39">
        <v>6</v>
      </c>
      <c r="L39" t="s">
        <v>1341</v>
      </c>
    </row>
    <row r="40" spans="1:20">
      <c r="A40" t="s">
        <v>1307</v>
      </c>
      <c r="K40">
        <v>7</v>
      </c>
      <c r="L40" t="s">
        <v>1338</v>
      </c>
    </row>
    <row r="41" spans="1:20">
      <c r="A41" t="s">
        <v>1308</v>
      </c>
    </row>
    <row r="42" spans="1:20">
      <c r="A42" t="s">
        <v>1309</v>
      </c>
    </row>
    <row r="43" spans="1:20">
      <c r="A43" t="s">
        <v>1310</v>
      </c>
      <c r="L43" t="s">
        <v>1345</v>
      </c>
    </row>
    <row r="44" spans="1:20">
      <c r="A44" t="s">
        <v>1311</v>
      </c>
      <c r="L44" t="s">
        <v>1346</v>
      </c>
    </row>
    <row r="45" spans="1:20">
      <c r="A45" t="s">
        <v>1312</v>
      </c>
    </row>
    <row r="46" spans="1:20">
      <c r="A46" t="s">
        <v>1313</v>
      </c>
    </row>
    <row r="47" spans="1:20">
      <c r="A47" t="s">
        <v>1314</v>
      </c>
    </row>
    <row r="48" spans="1:20">
      <c r="A48" t="s">
        <v>1315</v>
      </c>
    </row>
    <row r="49" spans="1:1">
      <c r="A49" t="s">
        <v>1316</v>
      </c>
    </row>
    <row r="50" spans="1:1">
      <c r="A50" t="s">
        <v>1317</v>
      </c>
    </row>
    <row r="51" spans="1:1">
      <c r="A51" t="s">
        <v>1318</v>
      </c>
    </row>
    <row r="52" spans="1:1">
      <c r="A52" t="s">
        <v>1319</v>
      </c>
    </row>
    <row r="53" spans="1:1">
      <c r="A53" t="s">
        <v>1320</v>
      </c>
    </row>
    <row r="54" spans="1:1">
      <c r="A54" t="s">
        <v>1321</v>
      </c>
    </row>
  </sheetData>
  <phoneticPr fontId="1"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7"/>
  <sheetViews>
    <sheetView zoomScale="70" zoomScaleNormal="70" workbookViewId="0">
      <selection activeCell="G17" sqref="G17"/>
    </sheetView>
  </sheetViews>
  <sheetFormatPr defaultRowHeight="15"/>
  <cols>
    <col min="1" max="1" width="9.28515625" customWidth="1"/>
    <col min="2" max="2" width="26.5703125" customWidth="1"/>
    <col min="7" max="7" width="77.85546875" customWidth="1"/>
    <col min="8" max="8" width="30.42578125" bestFit="1" customWidth="1"/>
    <col min="9" max="9" width="8.85546875" customWidth="1"/>
    <col min="10" max="10" width="61.42578125" bestFit="1" customWidth="1"/>
  </cols>
  <sheetData>
    <row r="1" spans="1:10">
      <c r="A1" s="25" t="s">
        <v>254</v>
      </c>
      <c r="B1" s="25" t="s">
        <v>326</v>
      </c>
      <c r="E1" s="257" t="s">
        <v>723</v>
      </c>
      <c r="F1" s="257"/>
      <c r="G1" s="257"/>
    </row>
    <row r="2" spans="1:10">
      <c r="A2" s="19" t="s">
        <v>255</v>
      </c>
      <c r="B2" s="19" t="s">
        <v>257</v>
      </c>
      <c r="E2" s="258" t="s">
        <v>724</v>
      </c>
      <c r="F2" s="258"/>
      <c r="G2" s="258"/>
    </row>
    <row r="3" spans="1:10">
      <c r="A3" s="19" t="s">
        <v>256</v>
      </c>
      <c r="B3" s="19" t="s">
        <v>258</v>
      </c>
    </row>
    <row r="4" spans="1:10">
      <c r="A4" s="19" t="s">
        <v>260</v>
      </c>
      <c r="B4" s="19" t="s">
        <v>259</v>
      </c>
      <c r="E4" s="257" t="s">
        <v>721</v>
      </c>
      <c r="F4" s="257"/>
      <c r="G4" s="25" t="s">
        <v>722</v>
      </c>
      <c r="H4" s="25" t="s">
        <v>725</v>
      </c>
      <c r="J4" s="6" t="s">
        <v>726</v>
      </c>
    </row>
    <row r="5" spans="1:10">
      <c r="E5" s="256" t="s">
        <v>719</v>
      </c>
      <c r="F5" s="256" t="s">
        <v>720</v>
      </c>
      <c r="G5" s="68" t="s">
        <v>746</v>
      </c>
      <c r="H5" s="255" t="s">
        <v>747</v>
      </c>
      <c r="J5" t="s">
        <v>727</v>
      </c>
    </row>
    <row r="6" spans="1:10">
      <c r="A6" t="s">
        <v>261</v>
      </c>
      <c r="E6" s="256"/>
      <c r="F6" s="256"/>
      <c r="G6" s="68" t="s">
        <v>745</v>
      </c>
      <c r="H6" s="256"/>
      <c r="J6" t="s">
        <v>728</v>
      </c>
    </row>
    <row r="7" spans="1:10">
      <c r="A7" t="s">
        <v>393</v>
      </c>
      <c r="B7" t="s">
        <v>793</v>
      </c>
      <c r="J7" t="s">
        <v>729</v>
      </c>
    </row>
    <row r="8" spans="1:10">
      <c r="A8" t="s">
        <v>275</v>
      </c>
      <c r="B8" t="s">
        <v>394</v>
      </c>
      <c r="J8" t="s">
        <v>730</v>
      </c>
    </row>
    <row r="9" spans="1:10">
      <c r="A9" t="s">
        <v>274</v>
      </c>
      <c r="B9" t="s">
        <v>796</v>
      </c>
      <c r="J9" t="s">
        <v>731</v>
      </c>
    </row>
    <row r="10" spans="1:10">
      <c r="A10" t="s">
        <v>395</v>
      </c>
      <c r="J10" s="6" t="s">
        <v>732</v>
      </c>
    </row>
    <row r="11" spans="1:10">
      <c r="A11" t="s">
        <v>563</v>
      </c>
      <c r="J11" t="s">
        <v>727</v>
      </c>
    </row>
    <row r="12" spans="1:10">
      <c r="J12" t="s">
        <v>733</v>
      </c>
    </row>
    <row r="13" spans="1:10">
      <c r="B13" t="s">
        <v>785</v>
      </c>
      <c r="C13" t="s">
        <v>789</v>
      </c>
      <c r="H13" t="s">
        <v>1240</v>
      </c>
      <c r="J13" t="s">
        <v>734</v>
      </c>
    </row>
    <row r="14" spans="1:10">
      <c r="A14" s="81">
        <v>1</v>
      </c>
      <c r="B14" t="s">
        <v>786</v>
      </c>
      <c r="C14" t="s">
        <v>790</v>
      </c>
      <c r="G14" t="s">
        <v>794</v>
      </c>
      <c r="H14" t="s">
        <v>1239</v>
      </c>
      <c r="J14" t="s">
        <v>735</v>
      </c>
    </row>
    <row r="15" spans="1:10">
      <c r="A15" s="81">
        <v>2</v>
      </c>
      <c r="B15" t="s">
        <v>787</v>
      </c>
      <c r="C15" t="s">
        <v>792</v>
      </c>
      <c r="G15" t="s">
        <v>795</v>
      </c>
      <c r="J15" t="s">
        <v>731</v>
      </c>
    </row>
    <row r="16" spans="1:10">
      <c r="A16" s="81">
        <v>3</v>
      </c>
      <c r="B16" t="s">
        <v>788</v>
      </c>
      <c r="C16" t="s">
        <v>791</v>
      </c>
      <c r="G16" t="s">
        <v>1285</v>
      </c>
      <c r="J16" t="s">
        <v>736</v>
      </c>
    </row>
    <row r="17" spans="7:10">
      <c r="G17" s="7" t="s">
        <v>1286</v>
      </c>
      <c r="J17" t="s">
        <v>737</v>
      </c>
    </row>
    <row r="18" spans="7:10">
      <c r="G18" s="7" t="s">
        <v>1287</v>
      </c>
      <c r="J18" t="s">
        <v>738</v>
      </c>
    </row>
    <row r="19" spans="7:10">
      <c r="J19" t="s">
        <v>739</v>
      </c>
    </row>
    <row r="20" spans="7:10">
      <c r="J20" t="s">
        <v>731</v>
      </c>
    </row>
    <row r="21" spans="7:10">
      <c r="J21" s="6" t="s">
        <v>743</v>
      </c>
    </row>
    <row r="22" spans="7:10">
      <c r="J22" t="s">
        <v>731</v>
      </c>
    </row>
    <row r="23" spans="7:10">
      <c r="J23" t="s">
        <v>744</v>
      </c>
    </row>
    <row r="24" spans="7:10">
      <c r="J24" t="s">
        <v>740</v>
      </c>
    </row>
    <row r="25" spans="7:10">
      <c r="J25" t="s">
        <v>741</v>
      </c>
    </row>
    <row r="26" spans="7:10">
      <c r="J26" t="s">
        <v>742</v>
      </c>
    </row>
    <row r="27" spans="7:10">
      <c r="J27" t="s">
        <v>731</v>
      </c>
    </row>
  </sheetData>
  <mergeCells count="6">
    <mergeCell ref="H5:H6"/>
    <mergeCell ref="E4:F4"/>
    <mergeCell ref="E1:G1"/>
    <mergeCell ref="E2:G2"/>
    <mergeCell ref="E5:E6"/>
    <mergeCell ref="F5:F6"/>
  </mergeCells>
  <phoneticPr fontId="1" type="noConversion"/>
  <hyperlinks>
    <hyperlink ref="G17" r:id="rId1" xr:uid="{423578C7-8A13-42FF-B0CB-7B3D59B70C8D}"/>
    <hyperlink ref="G18" r:id="rId2" xr:uid="{82AA8FD9-C7EA-47DF-856E-670CB8EABA44}"/>
  </hyperlinks>
  <pageMargins left="0.7" right="0.7" top="0.75" bottom="0.75" header="0.3" footer="0.3"/>
  <pageSetup paperSize="9" orientation="portrait" verticalDpi="0"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76F48-F7B1-448F-ACBC-34923B225806}">
  <dimension ref="A1"/>
  <sheetViews>
    <sheetView workbookViewId="0"/>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B713B-7546-4B5B-BF06-08BB58B1A0C8}">
  <dimension ref="A1:K33"/>
  <sheetViews>
    <sheetView topLeftCell="D4" zoomScaleNormal="100" workbookViewId="0">
      <selection activeCell="G8" sqref="G8"/>
    </sheetView>
  </sheetViews>
  <sheetFormatPr defaultRowHeight="15"/>
  <cols>
    <col min="1" max="1" width="12.28515625" customWidth="1"/>
    <col min="2" max="2" width="25.85546875" bestFit="1" customWidth="1"/>
    <col min="3" max="3" width="29" customWidth="1"/>
    <col min="4" max="4" width="10.42578125" customWidth="1"/>
    <col min="5" max="5" width="66.7109375" customWidth="1"/>
    <col min="6" max="6" width="10.7109375" style="81" bestFit="1" customWidth="1"/>
    <col min="7" max="7" width="33" customWidth="1"/>
    <col min="8" max="8" width="38.85546875" bestFit="1" customWidth="1"/>
    <col min="9" max="9" width="12.140625" style="81" bestFit="1" customWidth="1"/>
    <col min="11" max="11" width="60.42578125" style="125" bestFit="1" customWidth="1"/>
  </cols>
  <sheetData>
    <row r="1" spans="1:11" ht="30">
      <c r="A1" s="129" t="s">
        <v>845</v>
      </c>
      <c r="B1" s="129" t="s">
        <v>1160</v>
      </c>
      <c r="C1" s="129" t="s">
        <v>639</v>
      </c>
      <c r="D1" s="129" t="s">
        <v>1163</v>
      </c>
      <c r="E1" s="129" t="s">
        <v>1158</v>
      </c>
      <c r="F1" s="129" t="s">
        <v>1159</v>
      </c>
      <c r="G1" s="130" t="s">
        <v>1193</v>
      </c>
      <c r="H1" s="130" t="s">
        <v>1246</v>
      </c>
      <c r="I1" s="129" t="s">
        <v>1167</v>
      </c>
      <c r="J1" s="129" t="s">
        <v>1173</v>
      </c>
      <c r="K1" s="129" t="s">
        <v>1179</v>
      </c>
    </row>
    <row r="2" spans="1:11">
      <c r="A2" s="128">
        <v>44028</v>
      </c>
      <c r="B2" s="8" t="s">
        <v>1161</v>
      </c>
      <c r="C2" s="8" t="s">
        <v>1162</v>
      </c>
      <c r="D2" s="115" t="s">
        <v>1164</v>
      </c>
      <c r="E2" s="8" t="s">
        <v>1166</v>
      </c>
      <c r="F2" s="115" t="s">
        <v>1165</v>
      </c>
      <c r="G2" s="115">
        <v>0.36</v>
      </c>
      <c r="H2" s="115"/>
      <c r="I2" s="115" t="s">
        <v>1168</v>
      </c>
      <c r="J2" s="115" t="s">
        <v>891</v>
      </c>
      <c r="K2" s="259" t="s">
        <v>1185</v>
      </c>
    </row>
    <row r="3" spans="1:11">
      <c r="A3" s="128">
        <v>44028</v>
      </c>
      <c r="B3" s="8" t="s">
        <v>1170</v>
      </c>
      <c r="C3" s="8" t="s">
        <v>1184</v>
      </c>
      <c r="D3" s="115" t="s">
        <v>1164</v>
      </c>
      <c r="E3" s="8" t="s">
        <v>1171</v>
      </c>
      <c r="F3" s="115" t="s">
        <v>1183</v>
      </c>
      <c r="G3" s="115">
        <v>0.78</v>
      </c>
      <c r="H3" s="115"/>
      <c r="I3" s="115" t="s">
        <v>1172</v>
      </c>
      <c r="J3" s="115" t="s">
        <v>891</v>
      </c>
      <c r="K3" s="260"/>
    </row>
    <row r="4" spans="1:11">
      <c r="A4" s="128">
        <v>44029</v>
      </c>
      <c r="B4" s="8" t="s">
        <v>1175</v>
      </c>
      <c r="C4" s="8" t="s">
        <v>1177</v>
      </c>
      <c r="D4" s="115" t="s">
        <v>1164</v>
      </c>
      <c r="E4" s="8" t="s">
        <v>1176</v>
      </c>
      <c r="F4" s="115" t="s">
        <v>1178</v>
      </c>
      <c r="G4" s="115">
        <v>5.83</v>
      </c>
      <c r="H4" s="115"/>
      <c r="I4" s="115"/>
      <c r="J4" s="115" t="s">
        <v>891</v>
      </c>
      <c r="K4" s="260"/>
    </row>
    <row r="5" spans="1:11" ht="45">
      <c r="A5" s="128">
        <v>44029</v>
      </c>
      <c r="B5" s="8" t="s">
        <v>1174</v>
      </c>
      <c r="C5" s="8" t="s">
        <v>1180</v>
      </c>
      <c r="D5" s="115" t="s">
        <v>1164</v>
      </c>
      <c r="E5" s="18" t="s">
        <v>1182</v>
      </c>
      <c r="F5" s="115" t="s">
        <v>1181</v>
      </c>
      <c r="G5" s="115">
        <v>2.21</v>
      </c>
      <c r="H5" s="115"/>
      <c r="I5" s="115"/>
      <c r="J5" s="115" t="s">
        <v>891</v>
      </c>
      <c r="K5" s="261"/>
    </row>
    <row r="6" spans="1:11" ht="60">
      <c r="A6" s="128">
        <v>44029</v>
      </c>
      <c r="B6" s="8" t="s">
        <v>1174</v>
      </c>
      <c r="C6" s="8" t="s">
        <v>1195</v>
      </c>
      <c r="D6" s="115" t="s">
        <v>1164</v>
      </c>
      <c r="E6" s="18" t="s">
        <v>1182</v>
      </c>
      <c r="F6" s="115" t="s">
        <v>1186</v>
      </c>
      <c r="G6" s="18" t="s">
        <v>1196</v>
      </c>
      <c r="H6" s="18"/>
      <c r="I6" s="115" t="s">
        <v>1194</v>
      </c>
      <c r="J6" s="8"/>
      <c r="K6" s="8" t="s">
        <v>1192</v>
      </c>
    </row>
    <row r="7" spans="1:11" ht="60">
      <c r="A7" s="128">
        <v>44029</v>
      </c>
      <c r="B7" s="8" t="s">
        <v>1174</v>
      </c>
      <c r="C7" s="8" t="s">
        <v>1206</v>
      </c>
      <c r="D7" s="115" t="s">
        <v>1164</v>
      </c>
      <c r="E7" s="18" t="s">
        <v>1182</v>
      </c>
      <c r="F7" s="115" t="s">
        <v>1197</v>
      </c>
      <c r="G7" s="18" t="s">
        <v>1198</v>
      </c>
      <c r="H7" s="18"/>
      <c r="I7" s="115" t="s">
        <v>1194</v>
      </c>
      <c r="J7" s="8"/>
      <c r="K7" s="8"/>
    </row>
    <row r="8" spans="1:11" ht="60">
      <c r="A8" s="128">
        <v>44029</v>
      </c>
      <c r="B8" s="8" t="s">
        <v>1174</v>
      </c>
      <c r="C8" s="8" t="s">
        <v>1199</v>
      </c>
      <c r="D8" s="115" t="s">
        <v>1164</v>
      </c>
      <c r="E8" s="18" t="s">
        <v>1182</v>
      </c>
      <c r="F8" s="115" t="s">
        <v>1187</v>
      </c>
      <c r="G8" s="18" t="s">
        <v>1200</v>
      </c>
      <c r="H8" s="18" t="s">
        <v>1231</v>
      </c>
      <c r="I8" s="115" t="s">
        <v>1194</v>
      </c>
      <c r="J8" s="8"/>
      <c r="K8" s="18" t="s">
        <v>1237</v>
      </c>
    </row>
    <row r="9" spans="1:11" ht="60">
      <c r="A9" s="128">
        <v>44029</v>
      </c>
      <c r="B9" s="8" t="s">
        <v>1174</v>
      </c>
      <c r="C9" s="8" t="s">
        <v>1201</v>
      </c>
      <c r="D9" s="115" t="s">
        <v>1164</v>
      </c>
      <c r="E9" s="18" t="s">
        <v>1182</v>
      </c>
      <c r="F9" s="138" t="s">
        <v>1234</v>
      </c>
      <c r="G9" s="139" t="s">
        <v>1202</v>
      </c>
      <c r="H9" s="136" t="s">
        <v>1232</v>
      </c>
      <c r="I9" s="115" t="s">
        <v>1194</v>
      </c>
      <c r="J9" s="8"/>
      <c r="K9" s="18" t="s">
        <v>1238</v>
      </c>
    </row>
    <row r="10" spans="1:11" ht="64.5" customHeight="1">
      <c r="A10" s="135" t="s">
        <v>1218</v>
      </c>
      <c r="B10" s="8" t="s">
        <v>1174</v>
      </c>
      <c r="C10" s="8" t="s">
        <v>1205</v>
      </c>
      <c r="D10" s="115" t="s">
        <v>1164</v>
      </c>
      <c r="E10" s="18" t="s">
        <v>1182</v>
      </c>
      <c r="F10" s="115" t="s">
        <v>1189</v>
      </c>
      <c r="G10" s="18" t="s">
        <v>1233</v>
      </c>
      <c r="H10" s="18"/>
      <c r="I10" s="115" t="s">
        <v>1194</v>
      </c>
      <c r="J10" s="8"/>
      <c r="K10" s="18" t="s">
        <v>1235</v>
      </c>
    </row>
    <row r="11" spans="1:11" ht="45">
      <c r="A11" s="133" t="s">
        <v>1209</v>
      </c>
      <c r="B11" s="8" t="s">
        <v>1174</v>
      </c>
      <c r="C11" s="8" t="s">
        <v>1205</v>
      </c>
      <c r="D11" s="115" t="s">
        <v>1164</v>
      </c>
      <c r="E11" s="18" t="s">
        <v>1182</v>
      </c>
      <c r="F11" s="115" t="s">
        <v>1189</v>
      </c>
      <c r="G11" s="132" t="s">
        <v>1236</v>
      </c>
      <c r="H11" s="132"/>
      <c r="I11" s="115" t="s">
        <v>1208</v>
      </c>
      <c r="J11" s="8"/>
      <c r="K11" s="18" t="s">
        <v>1203</v>
      </c>
    </row>
    <row r="12" spans="1:11">
      <c r="A12" s="8"/>
      <c r="B12" s="8"/>
      <c r="C12" s="8"/>
      <c r="D12" s="8"/>
      <c r="E12" s="8"/>
      <c r="F12" s="115" t="s">
        <v>1190</v>
      </c>
      <c r="G12" s="8"/>
      <c r="H12" s="8"/>
      <c r="I12" s="115" t="s">
        <v>1194</v>
      </c>
      <c r="J12" s="8"/>
      <c r="K12" s="8" t="s">
        <v>1204</v>
      </c>
    </row>
    <row r="13" spans="1:11">
      <c r="A13" s="8"/>
      <c r="B13" s="8"/>
      <c r="C13" s="8"/>
      <c r="D13" s="8"/>
      <c r="E13" s="8"/>
      <c r="F13" s="115" t="s">
        <v>1191</v>
      </c>
      <c r="G13" s="8"/>
      <c r="H13" s="8"/>
      <c r="I13" s="115" t="s">
        <v>1194</v>
      </c>
      <c r="J13" s="8"/>
      <c r="K13" s="8" t="s">
        <v>1219</v>
      </c>
    </row>
    <row r="14" spans="1:11">
      <c r="A14" s="125"/>
      <c r="B14" s="125"/>
      <c r="C14" s="125"/>
      <c r="D14" s="125"/>
      <c r="E14" s="131" t="s">
        <v>1207</v>
      </c>
      <c r="F14" s="126"/>
      <c r="G14" s="131" t="s">
        <v>1245</v>
      </c>
      <c r="H14" s="125"/>
      <c r="I14" s="126"/>
      <c r="J14" s="125"/>
    </row>
    <row r="15" spans="1:11">
      <c r="A15" s="125"/>
      <c r="B15" s="125"/>
      <c r="C15" s="125"/>
      <c r="D15" s="125"/>
      <c r="E15" s="125"/>
      <c r="F15" s="126"/>
      <c r="G15" s="125" t="s">
        <v>1224</v>
      </c>
      <c r="H15" s="125" t="s">
        <v>1225</v>
      </c>
      <c r="I15" s="126"/>
      <c r="J15" s="125"/>
    </row>
    <row r="16" spans="1:11">
      <c r="A16" s="125"/>
      <c r="B16" s="125"/>
      <c r="C16" s="125"/>
      <c r="D16" s="125"/>
      <c r="E16" s="125"/>
      <c r="G16" s="125"/>
      <c r="H16" s="125"/>
      <c r="I16" s="126"/>
      <c r="J16" s="125"/>
    </row>
    <row r="17" spans="1:10" ht="15" customHeight="1">
      <c r="A17" s="125"/>
      <c r="B17" s="125"/>
      <c r="C17" s="125"/>
      <c r="D17" s="125"/>
      <c r="E17" s="125"/>
      <c r="F17" s="136"/>
      <c r="G17" s="8" t="s">
        <v>1247</v>
      </c>
      <c r="H17" s="122" t="s">
        <v>1248</v>
      </c>
      <c r="I17" s="126"/>
      <c r="J17" s="125"/>
    </row>
    <row r="18" spans="1:10">
      <c r="A18" s="125"/>
      <c r="B18" s="125"/>
      <c r="C18" s="125"/>
      <c r="D18" s="125"/>
      <c r="E18" s="125"/>
      <c r="F18" s="262" t="s">
        <v>1230</v>
      </c>
      <c r="G18" s="8" t="s">
        <v>1227</v>
      </c>
      <c r="H18" s="122" t="s">
        <v>1242</v>
      </c>
      <c r="I18" s="126"/>
      <c r="J18" s="125"/>
    </row>
    <row r="19" spans="1:10">
      <c r="F19" s="262"/>
      <c r="G19" s="145" t="s">
        <v>1226</v>
      </c>
      <c r="H19" s="146" t="s">
        <v>1243</v>
      </c>
    </row>
    <row r="20" spans="1:10">
      <c r="F20" s="262"/>
      <c r="G20" s="8" t="s">
        <v>1228</v>
      </c>
      <c r="H20" s="122" t="s">
        <v>1242</v>
      </c>
    </row>
    <row r="21" spans="1:10">
      <c r="F21" s="262"/>
      <c r="G21" s="8" t="s">
        <v>1229</v>
      </c>
      <c r="H21" s="140" t="s">
        <v>1244</v>
      </c>
    </row>
    <row r="22" spans="1:10">
      <c r="G22" s="137"/>
    </row>
    <row r="23" spans="1:10">
      <c r="F23" s="134" t="s">
        <v>1241</v>
      </c>
      <c r="G23" t="s">
        <v>1210</v>
      </c>
      <c r="H23" t="s">
        <v>1214</v>
      </c>
    </row>
    <row r="24" spans="1:10">
      <c r="F24" s="134" t="s">
        <v>1197</v>
      </c>
      <c r="G24" s="81">
        <v>1</v>
      </c>
      <c r="H24" t="s">
        <v>1212</v>
      </c>
    </row>
    <row r="25" spans="1:10">
      <c r="F25" s="134" t="s">
        <v>1197</v>
      </c>
      <c r="G25" s="81">
        <v>8</v>
      </c>
      <c r="H25" t="s">
        <v>1211</v>
      </c>
    </row>
    <row r="26" spans="1:10">
      <c r="F26" s="134" t="s">
        <v>1188</v>
      </c>
      <c r="G26" s="81">
        <v>1</v>
      </c>
      <c r="H26" t="s">
        <v>1215</v>
      </c>
    </row>
    <row r="27" spans="1:10">
      <c r="F27" s="134" t="s">
        <v>1188</v>
      </c>
      <c r="G27" s="81">
        <v>4</v>
      </c>
      <c r="H27" t="s">
        <v>1222</v>
      </c>
    </row>
    <row r="28" spans="1:10">
      <c r="F28" s="134" t="s">
        <v>1188</v>
      </c>
      <c r="G28" s="81">
        <v>8</v>
      </c>
      <c r="H28" t="s">
        <v>1213</v>
      </c>
    </row>
    <row r="29" spans="1:10">
      <c r="F29" s="134" t="s">
        <v>1189</v>
      </c>
      <c r="G29" s="81">
        <v>1</v>
      </c>
      <c r="H29" t="s">
        <v>1216</v>
      </c>
    </row>
    <row r="30" spans="1:10">
      <c r="F30" s="134" t="s">
        <v>1189</v>
      </c>
      <c r="G30" s="81">
        <v>4</v>
      </c>
      <c r="H30" t="s">
        <v>1223</v>
      </c>
    </row>
    <row r="31" spans="1:10">
      <c r="F31" s="134" t="s">
        <v>1189</v>
      </c>
      <c r="G31" s="81">
        <v>8</v>
      </c>
      <c r="H31" t="s">
        <v>1217</v>
      </c>
    </row>
    <row r="32" spans="1:10">
      <c r="F32" s="134" t="s">
        <v>1191</v>
      </c>
      <c r="G32" s="81">
        <v>1</v>
      </c>
      <c r="H32" t="s">
        <v>1220</v>
      </c>
    </row>
    <row r="33" spans="6:8">
      <c r="F33" s="134" t="s">
        <v>1191</v>
      </c>
      <c r="G33" s="81">
        <v>8</v>
      </c>
      <c r="H33" t="s">
        <v>1221</v>
      </c>
    </row>
  </sheetData>
  <mergeCells count="2">
    <mergeCell ref="K2:K5"/>
    <mergeCell ref="F18:F21"/>
  </mergeCells>
  <pageMargins left="0.7" right="0.7" top="0.75" bottom="0.75" header="0.3" footer="0.3"/>
  <pageSetup paperSize="9" orientation="portrait" horizontalDpi="300" verticalDpi="3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9"/>
  <sheetViews>
    <sheetView zoomScaleNormal="100" workbookViewId="0">
      <selection activeCell="C24" sqref="C24"/>
    </sheetView>
  </sheetViews>
  <sheetFormatPr defaultRowHeight="15"/>
  <cols>
    <col min="1" max="1" width="32.7109375" bestFit="1" customWidth="1"/>
    <col min="2" max="2" width="7.28515625" customWidth="1"/>
    <col min="3" max="3" width="78.42578125" customWidth="1"/>
    <col min="5" max="5" width="14.85546875" bestFit="1" customWidth="1"/>
    <col min="6" max="6" width="13.85546875" customWidth="1"/>
  </cols>
  <sheetData>
    <row r="1" spans="1:6">
      <c r="A1" s="25" t="s">
        <v>0</v>
      </c>
      <c r="B1" s="25" t="s">
        <v>1430</v>
      </c>
      <c r="C1" s="25" t="s">
        <v>263</v>
      </c>
      <c r="E1" t="s">
        <v>1076</v>
      </c>
      <c r="F1" s="183">
        <v>44187</v>
      </c>
    </row>
    <row r="2" spans="1:6">
      <c r="A2" s="19" t="s">
        <v>1</v>
      </c>
      <c r="B2" s="20">
        <v>1</v>
      </c>
      <c r="C2" s="19" t="s">
        <v>1276</v>
      </c>
      <c r="E2" t="s">
        <v>1078</v>
      </c>
      <c r="F2" s="184">
        <v>0.56269675925925922</v>
      </c>
    </row>
    <row r="3" spans="1:6">
      <c r="A3" s="19" t="s">
        <v>2</v>
      </c>
      <c r="B3" s="20">
        <v>1</v>
      </c>
      <c r="C3" s="19" t="s">
        <v>264</v>
      </c>
      <c r="E3" t="s">
        <v>1084</v>
      </c>
      <c r="F3" t="s">
        <v>1448</v>
      </c>
    </row>
    <row r="4" spans="1:6">
      <c r="A4" s="19" t="s">
        <v>6</v>
      </c>
      <c r="B4" s="20">
        <v>1</v>
      </c>
      <c r="C4" s="21" t="s">
        <v>268</v>
      </c>
      <c r="E4" t="s">
        <v>1086</v>
      </c>
      <c r="F4" t="s">
        <v>1449</v>
      </c>
    </row>
    <row r="5" spans="1:6" ht="45">
      <c r="A5" s="18" t="s">
        <v>271</v>
      </c>
      <c r="B5" s="22">
        <v>1</v>
      </c>
      <c r="C5" s="23" t="s">
        <v>265</v>
      </c>
      <c r="E5" t="s">
        <v>1088</v>
      </c>
      <c r="F5" t="s">
        <v>1450</v>
      </c>
    </row>
    <row r="6" spans="1:6" ht="30">
      <c r="A6" s="8" t="s">
        <v>266</v>
      </c>
      <c r="B6" s="20">
        <v>2</v>
      </c>
      <c r="C6" s="177" t="s">
        <v>1429</v>
      </c>
      <c r="E6" t="s">
        <v>1090</v>
      </c>
      <c r="F6" t="s">
        <v>1451</v>
      </c>
    </row>
    <row r="7" spans="1:6">
      <c r="A7" s="19" t="s">
        <v>269</v>
      </c>
      <c r="B7" s="20">
        <v>2</v>
      </c>
      <c r="C7" s="24" t="s">
        <v>270</v>
      </c>
      <c r="E7" t="s">
        <v>1092</v>
      </c>
      <c r="F7">
        <v>8080</v>
      </c>
    </row>
    <row r="8" spans="1:6">
      <c r="A8" s="19" t="s">
        <v>3</v>
      </c>
      <c r="B8" s="20">
        <v>2</v>
      </c>
      <c r="C8" s="19"/>
      <c r="E8" t="s">
        <v>1094</v>
      </c>
      <c r="F8" t="s">
        <v>1451</v>
      </c>
    </row>
    <row r="9" spans="1:6">
      <c r="A9" s="19" t="s">
        <v>4</v>
      </c>
      <c r="B9" s="20">
        <v>2</v>
      </c>
      <c r="C9" s="19"/>
      <c r="E9" t="s">
        <v>1096</v>
      </c>
      <c r="F9" t="s">
        <v>1448</v>
      </c>
    </row>
    <row r="10" spans="1:6">
      <c r="E10" t="s">
        <v>1100</v>
      </c>
      <c r="F10" t="s">
        <v>1452</v>
      </c>
    </row>
    <row r="11" spans="1:6">
      <c r="E11" t="s">
        <v>1447</v>
      </c>
      <c r="F11" t="s">
        <v>1451</v>
      </c>
    </row>
    <row r="12" spans="1:6">
      <c r="C12" s="7" t="s">
        <v>1354</v>
      </c>
      <c r="E12" t="s">
        <v>1107</v>
      </c>
      <c r="F12">
        <v>403</v>
      </c>
    </row>
    <row r="13" spans="1:6">
      <c r="A13" t="s">
        <v>1431</v>
      </c>
      <c r="E13" t="s">
        <v>1109</v>
      </c>
      <c r="F13">
        <v>14</v>
      </c>
    </row>
    <row r="14" spans="1:6">
      <c r="A14" t="s">
        <v>1432</v>
      </c>
      <c r="E14" t="s">
        <v>1111</v>
      </c>
      <c r="F14">
        <v>0</v>
      </c>
    </row>
    <row r="15" spans="1:6">
      <c r="A15" t="s">
        <v>1433</v>
      </c>
      <c r="E15" t="s">
        <v>1117</v>
      </c>
      <c r="F15">
        <v>962</v>
      </c>
    </row>
    <row r="16" spans="1:6">
      <c r="A16" t="s">
        <v>1434</v>
      </c>
      <c r="F16">
        <v>457</v>
      </c>
    </row>
    <row r="17" spans="1:2">
      <c r="A17" t="s">
        <v>1435</v>
      </c>
    </row>
    <row r="19" spans="1:2">
      <c r="A19" t="s">
        <v>1436</v>
      </c>
      <c r="B19" t="s">
        <v>1437</v>
      </c>
    </row>
  </sheetData>
  <phoneticPr fontId="1" type="noConversion"/>
  <hyperlinks>
    <hyperlink ref="C4" r:id="rId1" xr:uid="{00000000-0004-0000-0A00-000000000000}"/>
    <hyperlink ref="C6" r:id="rId2" xr:uid="{00000000-0004-0000-0A00-000001000000}"/>
    <hyperlink ref="C12" r:id="rId3" xr:uid="{3E7AA98A-DA0C-4CAA-9E1E-F9DAABC6C48F}"/>
  </hyperlinks>
  <pageMargins left="0.7" right="0.7" top="0.75" bottom="0.75" header="0.3" footer="0.3"/>
  <pageSetup paperSize="9" orientation="portrait" verticalDpi="300"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9847-1933-4532-BA71-36026569AE7D}">
  <dimension ref="A1:H115"/>
  <sheetViews>
    <sheetView tabSelected="1" topLeftCell="A39" zoomScaleNormal="100" workbookViewId="0">
      <selection activeCell="C70" sqref="C70"/>
    </sheetView>
  </sheetViews>
  <sheetFormatPr defaultRowHeight="15"/>
  <cols>
    <col min="1" max="1" width="9.140625" bestFit="1" customWidth="1"/>
    <col min="2" max="2" width="22.140625" customWidth="1"/>
    <col min="3" max="3" width="163.7109375" customWidth="1"/>
    <col min="6" max="6" width="13.42578125" bestFit="1" customWidth="1"/>
    <col min="7" max="7" width="74.5703125" bestFit="1" customWidth="1"/>
    <col min="8" max="8" width="16.5703125" bestFit="1" customWidth="1"/>
  </cols>
  <sheetData>
    <row r="1" spans="1:8">
      <c r="A1" s="165" t="s">
        <v>970</v>
      </c>
      <c r="B1" s="166" t="s">
        <v>971</v>
      </c>
      <c r="C1" s="166" t="s">
        <v>972</v>
      </c>
      <c r="E1" s="165" t="s">
        <v>970</v>
      </c>
      <c r="F1" s="166" t="s">
        <v>971</v>
      </c>
      <c r="G1" s="166" t="s">
        <v>972</v>
      </c>
      <c r="H1" s="166" t="s">
        <v>1399</v>
      </c>
    </row>
    <row r="2" spans="1:8">
      <c r="A2" s="8" t="s">
        <v>757</v>
      </c>
      <c r="B2" s="8" t="s">
        <v>973</v>
      </c>
      <c r="C2" s="8" t="s">
        <v>974</v>
      </c>
      <c r="E2" s="164" t="s">
        <v>1398</v>
      </c>
      <c r="F2" s="164" t="s">
        <v>1356</v>
      </c>
      <c r="G2" s="19" t="s">
        <v>1377</v>
      </c>
      <c r="H2" s="164" t="s">
        <v>1043</v>
      </c>
    </row>
    <row r="3" spans="1:8">
      <c r="A3" s="8" t="s">
        <v>757</v>
      </c>
      <c r="B3" s="8" t="s">
        <v>975</v>
      </c>
      <c r="C3" s="8" t="s">
        <v>976</v>
      </c>
      <c r="E3" s="164" t="s">
        <v>1398</v>
      </c>
      <c r="F3" s="164" t="s">
        <v>1357</v>
      </c>
      <c r="G3" s="19" t="s">
        <v>1378</v>
      </c>
      <c r="H3" s="164" t="s">
        <v>1043</v>
      </c>
    </row>
    <row r="4" spans="1:8">
      <c r="A4" s="8" t="s">
        <v>757</v>
      </c>
      <c r="B4" s="8" t="s">
        <v>977</v>
      </c>
      <c r="C4" s="8" t="s">
        <v>978</v>
      </c>
      <c r="E4" s="164" t="s">
        <v>1398</v>
      </c>
      <c r="F4" s="164" t="s">
        <v>1358</v>
      </c>
      <c r="G4" s="19" t="s">
        <v>1379</v>
      </c>
      <c r="H4" s="164" t="s">
        <v>1043</v>
      </c>
    </row>
    <row r="5" spans="1:8">
      <c r="A5" s="8" t="s">
        <v>757</v>
      </c>
      <c r="B5" s="8" t="s">
        <v>979</v>
      </c>
      <c r="C5" s="8" t="s">
        <v>980</v>
      </c>
      <c r="E5" s="164" t="s">
        <v>1398</v>
      </c>
      <c r="F5" s="164" t="s">
        <v>1359</v>
      </c>
      <c r="G5" s="19" t="s">
        <v>1380</v>
      </c>
      <c r="H5" s="164" t="s">
        <v>1043</v>
      </c>
    </row>
    <row r="6" spans="1:8">
      <c r="A6" s="8" t="s">
        <v>757</v>
      </c>
      <c r="B6" s="8" t="s">
        <v>981</v>
      </c>
      <c r="C6" s="8" t="s">
        <v>982</v>
      </c>
      <c r="E6" s="164" t="s">
        <v>1398</v>
      </c>
      <c r="F6" s="164" t="s">
        <v>1360</v>
      </c>
      <c r="G6" s="19" t="s">
        <v>1381</v>
      </c>
      <c r="H6" s="164" t="s">
        <v>1043</v>
      </c>
    </row>
    <row r="7" spans="1:8">
      <c r="A7" s="8" t="s">
        <v>757</v>
      </c>
      <c r="B7" s="8" t="s">
        <v>983</v>
      </c>
      <c r="C7" s="8" t="s">
        <v>984</v>
      </c>
      <c r="E7" s="164" t="s">
        <v>1398</v>
      </c>
      <c r="F7" s="164" t="s">
        <v>1361</v>
      </c>
      <c r="G7" s="19" t="s">
        <v>1382</v>
      </c>
      <c r="H7" s="164" t="s">
        <v>1043</v>
      </c>
    </row>
    <row r="8" spans="1:8">
      <c r="A8" s="168" t="s">
        <v>757</v>
      </c>
      <c r="B8" s="168" t="s">
        <v>985</v>
      </c>
      <c r="C8" s="168" t="s">
        <v>986</v>
      </c>
      <c r="E8" s="164" t="s">
        <v>1398</v>
      </c>
      <c r="F8" s="164" t="s">
        <v>1362</v>
      </c>
      <c r="G8" s="19" t="s">
        <v>1383</v>
      </c>
      <c r="H8" s="164" t="s">
        <v>1043</v>
      </c>
    </row>
    <row r="9" spans="1:8">
      <c r="A9" s="8" t="s">
        <v>757</v>
      </c>
      <c r="B9" s="8" t="s">
        <v>987</v>
      </c>
      <c r="C9" s="8" t="s">
        <v>988</v>
      </c>
      <c r="E9" s="164" t="s">
        <v>1398</v>
      </c>
      <c r="F9" s="164" t="s">
        <v>1363</v>
      </c>
      <c r="G9" s="19" t="s">
        <v>1384</v>
      </c>
      <c r="H9" s="164" t="s">
        <v>1043</v>
      </c>
    </row>
    <row r="10" spans="1:8">
      <c r="A10" s="8" t="s">
        <v>757</v>
      </c>
      <c r="B10" s="8" t="s">
        <v>989</v>
      </c>
      <c r="C10" s="8" t="s">
        <v>990</v>
      </c>
      <c r="E10" s="164" t="s">
        <v>1398</v>
      </c>
      <c r="F10" s="164" t="s">
        <v>1364</v>
      </c>
      <c r="G10" s="19" t="s">
        <v>1385</v>
      </c>
      <c r="H10" s="164" t="s">
        <v>1043</v>
      </c>
    </row>
    <row r="11" spans="1:8">
      <c r="A11" s="8" t="s">
        <v>757</v>
      </c>
      <c r="B11" s="8" t="s">
        <v>991</v>
      </c>
      <c r="C11" s="8" t="s">
        <v>992</v>
      </c>
      <c r="E11" s="164" t="s">
        <v>1398</v>
      </c>
      <c r="F11" s="164" t="s">
        <v>1365</v>
      </c>
      <c r="G11" s="19" t="s">
        <v>1386</v>
      </c>
      <c r="H11" s="164" t="s">
        <v>1043</v>
      </c>
    </row>
    <row r="12" spans="1:8">
      <c r="A12" s="8" t="s">
        <v>757</v>
      </c>
      <c r="B12" s="8" t="s">
        <v>993</v>
      </c>
      <c r="C12" s="8" t="s">
        <v>994</v>
      </c>
      <c r="E12" s="164" t="s">
        <v>1398</v>
      </c>
      <c r="F12" s="164" t="s">
        <v>1366</v>
      </c>
      <c r="G12" s="19" t="s">
        <v>1387</v>
      </c>
      <c r="H12" s="164" t="s">
        <v>1043</v>
      </c>
    </row>
    <row r="13" spans="1:8">
      <c r="A13" s="8" t="s">
        <v>757</v>
      </c>
      <c r="B13" s="8" t="s">
        <v>995</v>
      </c>
      <c r="C13" s="8" t="s">
        <v>996</v>
      </c>
      <c r="E13" s="164" t="s">
        <v>1398</v>
      </c>
      <c r="F13" s="164" t="s">
        <v>1367</v>
      </c>
      <c r="G13" s="19" t="s">
        <v>1388</v>
      </c>
      <c r="H13" s="164" t="s">
        <v>1043</v>
      </c>
    </row>
    <row r="14" spans="1:8">
      <c r="A14" s="8" t="s">
        <v>757</v>
      </c>
      <c r="B14" s="8" t="s">
        <v>997</v>
      </c>
      <c r="C14" s="8" t="s">
        <v>998</v>
      </c>
      <c r="E14" s="164" t="s">
        <v>1398</v>
      </c>
      <c r="F14" s="164" t="s">
        <v>1368</v>
      </c>
      <c r="G14" s="19" t="s">
        <v>1389</v>
      </c>
      <c r="H14" s="164" t="s">
        <v>947</v>
      </c>
    </row>
    <row r="15" spans="1:8">
      <c r="A15" s="8" t="s">
        <v>757</v>
      </c>
      <c r="B15" s="8" t="s">
        <v>999</v>
      </c>
      <c r="C15" s="8" t="s">
        <v>1000</v>
      </c>
      <c r="E15" s="164" t="s">
        <v>1398</v>
      </c>
      <c r="F15" s="164" t="s">
        <v>1369</v>
      </c>
      <c r="G15" s="19" t="s">
        <v>1390</v>
      </c>
      <c r="H15" s="164" t="s">
        <v>1043</v>
      </c>
    </row>
    <row r="16" spans="1:8">
      <c r="A16" s="8" t="s">
        <v>757</v>
      </c>
      <c r="B16" s="8" t="s">
        <v>1001</v>
      </c>
      <c r="C16" s="8" t="s">
        <v>1002</v>
      </c>
      <c r="E16" s="164" t="s">
        <v>1398</v>
      </c>
      <c r="F16" s="164" t="s">
        <v>1370</v>
      </c>
      <c r="G16" s="19" t="s">
        <v>1391</v>
      </c>
      <c r="H16" s="164" t="s">
        <v>1043</v>
      </c>
    </row>
    <row r="17" spans="1:8">
      <c r="A17" s="8" t="s">
        <v>757</v>
      </c>
      <c r="B17" s="8" t="s">
        <v>1003</v>
      </c>
      <c r="C17" s="8" t="s">
        <v>1004</v>
      </c>
      <c r="E17" s="164" t="s">
        <v>1398</v>
      </c>
      <c r="F17" s="164" t="s">
        <v>1371</v>
      </c>
      <c r="G17" s="19" t="s">
        <v>1392</v>
      </c>
      <c r="H17" s="164" t="s">
        <v>1043</v>
      </c>
    </row>
    <row r="18" spans="1:8">
      <c r="A18" s="8" t="s">
        <v>757</v>
      </c>
      <c r="B18" s="8" t="s">
        <v>1005</v>
      </c>
      <c r="C18" s="8" t="s">
        <v>1006</v>
      </c>
      <c r="E18" s="164" t="s">
        <v>1398</v>
      </c>
      <c r="F18" s="164" t="s">
        <v>1372</v>
      </c>
      <c r="G18" s="19" t="s">
        <v>1393</v>
      </c>
      <c r="H18" s="164" t="s">
        <v>1043</v>
      </c>
    </row>
    <row r="19" spans="1:8">
      <c r="A19" s="8" t="s">
        <v>757</v>
      </c>
      <c r="B19" s="8" t="s">
        <v>1007</v>
      </c>
      <c r="C19" s="8" t="s">
        <v>1008</v>
      </c>
      <c r="E19" s="163" t="s">
        <v>1398</v>
      </c>
      <c r="F19" s="163" t="s">
        <v>1373</v>
      </c>
      <c r="G19" s="167" t="s">
        <v>1394</v>
      </c>
      <c r="H19" s="163" t="s">
        <v>947</v>
      </c>
    </row>
    <row r="20" spans="1:8">
      <c r="A20" s="8" t="s">
        <v>757</v>
      </c>
      <c r="B20" s="8" t="s">
        <v>1009</v>
      </c>
      <c r="C20" s="8" t="s">
        <v>1010</v>
      </c>
      <c r="E20" s="164" t="s">
        <v>1398</v>
      </c>
      <c r="F20" s="164" t="s">
        <v>1374</v>
      </c>
      <c r="G20" s="19" t="s">
        <v>1395</v>
      </c>
      <c r="H20" s="164" t="s">
        <v>1043</v>
      </c>
    </row>
    <row r="21" spans="1:8">
      <c r="A21" s="8" t="s">
        <v>757</v>
      </c>
      <c r="B21" s="8" t="s">
        <v>1011</v>
      </c>
      <c r="C21" s="8" t="s">
        <v>1012</v>
      </c>
      <c r="E21" s="164" t="s">
        <v>1398</v>
      </c>
      <c r="F21" s="164" t="s">
        <v>1375</v>
      </c>
      <c r="G21" s="19" t="s">
        <v>1396</v>
      </c>
      <c r="H21" s="164" t="s">
        <v>947</v>
      </c>
    </row>
    <row r="22" spans="1:8">
      <c r="A22" s="8" t="s">
        <v>757</v>
      </c>
      <c r="B22" s="8" t="s">
        <v>1013</v>
      </c>
      <c r="C22" s="8" t="s">
        <v>1014</v>
      </c>
      <c r="E22" s="164" t="s">
        <v>1398</v>
      </c>
      <c r="F22" s="164" t="s">
        <v>1376</v>
      </c>
      <c r="G22" s="19" t="s">
        <v>1397</v>
      </c>
      <c r="H22" s="164" t="s">
        <v>947</v>
      </c>
    </row>
    <row r="23" spans="1:8">
      <c r="A23" s="8" t="s">
        <v>757</v>
      </c>
      <c r="B23" s="8" t="s">
        <v>1015</v>
      </c>
      <c r="C23" s="8" t="s">
        <v>1016</v>
      </c>
      <c r="F23" s="81"/>
    </row>
    <row r="24" spans="1:8">
      <c r="A24" s="8" t="s">
        <v>757</v>
      </c>
      <c r="B24" s="8" t="s">
        <v>1017</v>
      </c>
      <c r="C24" s="8" t="s">
        <v>1018</v>
      </c>
    </row>
    <row r="25" spans="1:8">
      <c r="A25" s="8" t="s">
        <v>757</v>
      </c>
      <c r="B25" s="8" t="s">
        <v>1019</v>
      </c>
      <c r="C25" s="8" t="s">
        <v>1020</v>
      </c>
    </row>
    <row r="26" spans="1:8">
      <c r="A26" s="8" t="s">
        <v>757</v>
      </c>
      <c r="B26" s="8" t="s">
        <v>1021</v>
      </c>
      <c r="C26" s="8" t="s">
        <v>1022</v>
      </c>
    </row>
    <row r="27" spans="1:8">
      <c r="A27" s="8" t="s">
        <v>757</v>
      </c>
      <c r="B27" s="8" t="s">
        <v>836</v>
      </c>
      <c r="C27" s="8" t="s">
        <v>1023</v>
      </c>
    </row>
    <row r="28" spans="1:8">
      <c r="A28" s="8" t="s">
        <v>757</v>
      </c>
      <c r="B28" s="8" t="s">
        <v>1024</v>
      </c>
      <c r="C28" s="8" t="s">
        <v>1025</v>
      </c>
    </row>
    <row r="29" spans="1:8">
      <c r="A29" s="8" t="s">
        <v>757</v>
      </c>
      <c r="B29" s="8" t="s">
        <v>1026</v>
      </c>
      <c r="C29" s="8" t="s">
        <v>1027</v>
      </c>
    </row>
    <row r="30" spans="1:8">
      <c r="A30" s="8" t="s">
        <v>757</v>
      </c>
      <c r="B30" s="8" t="s">
        <v>1028</v>
      </c>
      <c r="C30" s="8" t="s">
        <v>1029</v>
      </c>
    </row>
    <row r="31" spans="1:8">
      <c r="A31" s="8" t="s">
        <v>757</v>
      </c>
      <c r="B31" s="8" t="s">
        <v>1030</v>
      </c>
      <c r="C31" s="8" t="s">
        <v>1031</v>
      </c>
    </row>
    <row r="32" spans="1:8">
      <c r="A32" s="8" t="s">
        <v>757</v>
      </c>
      <c r="B32" s="8" t="s">
        <v>1032</v>
      </c>
      <c r="C32" s="8" t="s">
        <v>1033</v>
      </c>
    </row>
    <row r="33" spans="1:3">
      <c r="A33" s="8" t="s">
        <v>757</v>
      </c>
      <c r="B33" s="8" t="s">
        <v>1034</v>
      </c>
      <c r="C33" s="8" t="s">
        <v>1035</v>
      </c>
    </row>
    <row r="34" spans="1:3">
      <c r="A34" s="8" t="s">
        <v>757</v>
      </c>
      <c r="B34" s="8" t="s">
        <v>834</v>
      </c>
      <c r="C34" s="8" t="s">
        <v>1036</v>
      </c>
    </row>
    <row r="35" spans="1:3">
      <c r="A35" s="8" t="s">
        <v>757</v>
      </c>
      <c r="B35" s="8" t="s">
        <v>1037</v>
      </c>
      <c r="C35" s="8" t="s">
        <v>1038</v>
      </c>
    </row>
    <row r="36" spans="1:3">
      <c r="A36" s="8" t="s">
        <v>757</v>
      </c>
      <c r="B36" s="8" t="s">
        <v>1039</v>
      </c>
      <c r="C36" s="8" t="s">
        <v>1040</v>
      </c>
    </row>
    <row r="37" spans="1:3">
      <c r="A37" s="8" t="s">
        <v>757</v>
      </c>
      <c r="B37" s="8" t="s">
        <v>947</v>
      </c>
      <c r="C37" s="8" t="s">
        <v>1041</v>
      </c>
    </row>
    <row r="38" spans="1:3">
      <c r="A38" s="8" t="s">
        <v>757</v>
      </c>
      <c r="B38" s="8" t="s">
        <v>832</v>
      </c>
      <c r="C38" s="8" t="s">
        <v>1042</v>
      </c>
    </row>
    <row r="39" spans="1:3">
      <c r="A39" s="8" t="s">
        <v>757</v>
      </c>
      <c r="B39" s="8" t="s">
        <v>1043</v>
      </c>
      <c r="C39" s="8" t="s">
        <v>1044</v>
      </c>
    </row>
    <row r="40" spans="1:3">
      <c r="A40" s="8" t="s">
        <v>757</v>
      </c>
      <c r="B40" s="8" t="s">
        <v>835</v>
      </c>
      <c r="C40" s="8" t="s">
        <v>1045</v>
      </c>
    </row>
    <row r="41" spans="1:3">
      <c r="A41" s="8" t="s">
        <v>757</v>
      </c>
      <c r="B41" s="8" t="s">
        <v>1046</v>
      </c>
      <c r="C41" s="8" t="s">
        <v>1047</v>
      </c>
    </row>
    <row r="42" spans="1:3">
      <c r="A42" s="8" t="s">
        <v>757</v>
      </c>
      <c r="B42" s="8" t="s">
        <v>1048</v>
      </c>
      <c r="C42" s="8" t="s">
        <v>1049</v>
      </c>
    </row>
    <row r="43" spans="1:3">
      <c r="A43" s="122" t="s">
        <v>384</v>
      </c>
      <c r="B43" s="182" t="s">
        <v>1440</v>
      </c>
      <c r="C43" s="122" t="s">
        <v>1050</v>
      </c>
    </row>
    <row r="44" spans="1:3">
      <c r="A44" s="122" t="s">
        <v>384</v>
      </c>
      <c r="B44" s="181" t="s">
        <v>1441</v>
      </c>
      <c r="C44" s="122" t="s">
        <v>974</v>
      </c>
    </row>
    <row r="45" spans="1:3">
      <c r="A45" s="122" t="s">
        <v>384</v>
      </c>
      <c r="B45" s="181" t="s">
        <v>1442</v>
      </c>
      <c r="C45" s="122" t="s">
        <v>1052</v>
      </c>
    </row>
    <row r="46" spans="1:3">
      <c r="A46" s="122" t="s">
        <v>384</v>
      </c>
      <c r="B46" s="181" t="s">
        <v>949</v>
      </c>
      <c r="C46" s="122" t="s">
        <v>1053</v>
      </c>
    </row>
    <row r="47" spans="1:3">
      <c r="A47" s="122" t="s">
        <v>384</v>
      </c>
      <c r="B47" s="181" t="s">
        <v>1445</v>
      </c>
      <c r="C47" s="122" t="s">
        <v>1054</v>
      </c>
    </row>
    <row r="48" spans="1:3">
      <c r="A48" s="122" t="s">
        <v>384</v>
      </c>
      <c r="B48" s="181" t="s">
        <v>1446</v>
      </c>
      <c r="C48" s="122" t="s">
        <v>1055</v>
      </c>
    </row>
    <row r="49" spans="1:3">
      <c r="A49" s="122" t="s">
        <v>384</v>
      </c>
      <c r="B49" s="181" t="s">
        <v>1444</v>
      </c>
      <c r="C49" s="122" t="s">
        <v>1056</v>
      </c>
    </row>
    <row r="50" spans="1:3">
      <c r="A50" s="122" t="s">
        <v>384</v>
      </c>
      <c r="B50" s="181" t="s">
        <v>1443</v>
      </c>
      <c r="C50" s="122" t="s">
        <v>1057</v>
      </c>
    </row>
    <row r="51" spans="1:3">
      <c r="A51" s="122" t="s">
        <v>384</v>
      </c>
      <c r="B51" s="181" t="s">
        <v>1439</v>
      </c>
      <c r="C51" s="122" t="s">
        <v>1058</v>
      </c>
    </row>
    <row r="52" spans="1:3">
      <c r="A52" s="122" t="s">
        <v>384</v>
      </c>
      <c r="B52" s="182" t="s">
        <v>1059</v>
      </c>
      <c r="C52" s="122" t="s">
        <v>1060</v>
      </c>
    </row>
    <row r="53" spans="1:3">
      <c r="A53" s="122" t="s">
        <v>384</v>
      </c>
      <c r="B53" s="122" t="s">
        <v>1061</v>
      </c>
      <c r="C53" s="8" t="s">
        <v>1062</v>
      </c>
    </row>
    <row r="54" spans="1:3">
      <c r="A54" s="122" t="s">
        <v>384</v>
      </c>
      <c r="B54" s="122" t="s">
        <v>1063</v>
      </c>
      <c r="C54" s="8" t="s">
        <v>1064</v>
      </c>
    </row>
    <row r="55" spans="1:3">
      <c r="A55" s="122" t="s">
        <v>384</v>
      </c>
      <c r="B55" s="8" t="s">
        <v>1065</v>
      </c>
      <c r="C55" s="8" t="s">
        <v>1066</v>
      </c>
    </row>
    <row r="56" spans="1:3">
      <c r="A56" s="122" t="s">
        <v>384</v>
      </c>
      <c r="B56" s="8" t="s">
        <v>1067</v>
      </c>
      <c r="C56" s="8" t="s">
        <v>1068</v>
      </c>
    </row>
    <row r="57" spans="1:3">
      <c r="A57" s="122" t="s">
        <v>384</v>
      </c>
      <c r="B57" s="8" t="s">
        <v>1069</v>
      </c>
      <c r="C57" s="8" t="s">
        <v>1070</v>
      </c>
    </row>
    <row r="58" spans="1:3" ht="30">
      <c r="A58" s="122" t="s">
        <v>384</v>
      </c>
      <c r="B58" s="145" t="s">
        <v>1438</v>
      </c>
      <c r="C58" s="18" t="s">
        <v>1071</v>
      </c>
    </row>
    <row r="59" spans="1:3">
      <c r="A59" s="122" t="s">
        <v>384</v>
      </c>
      <c r="B59" s="8" t="s">
        <v>1072</v>
      </c>
      <c r="C59" s="8" t="s">
        <v>1073</v>
      </c>
    </row>
    <row r="60" spans="1:3">
      <c r="A60" s="122" t="s">
        <v>384</v>
      </c>
      <c r="B60" s="8" t="s">
        <v>1051</v>
      </c>
      <c r="C60" s="8" t="s">
        <v>1074</v>
      </c>
    </row>
    <row r="61" spans="1:3" ht="16.5">
      <c r="A61" s="8" t="s">
        <v>1075</v>
      </c>
      <c r="B61" s="179" t="s">
        <v>1076</v>
      </c>
      <c r="C61" s="169" t="s">
        <v>1077</v>
      </c>
    </row>
    <row r="62" spans="1:3" ht="16.5">
      <c r="A62" s="8" t="s">
        <v>1075</v>
      </c>
      <c r="B62" s="180" t="s">
        <v>1078</v>
      </c>
      <c r="C62" s="170" t="s">
        <v>1079</v>
      </c>
    </row>
    <row r="63" spans="1:3" ht="16.5">
      <c r="A63" s="8" t="s">
        <v>1075</v>
      </c>
      <c r="B63" s="170" t="s">
        <v>1080</v>
      </c>
      <c r="C63" s="170" t="s">
        <v>1081</v>
      </c>
    </row>
    <row r="64" spans="1:3" ht="19.5" customHeight="1">
      <c r="A64" s="8" t="s">
        <v>1075</v>
      </c>
      <c r="B64" s="170" t="s">
        <v>1082</v>
      </c>
      <c r="C64" s="170" t="s">
        <v>1083</v>
      </c>
    </row>
    <row r="65" spans="1:3" ht="16.5">
      <c r="A65" s="8" t="s">
        <v>1075</v>
      </c>
      <c r="B65" s="170" t="s">
        <v>1084</v>
      </c>
      <c r="C65" s="170" t="s">
        <v>1085</v>
      </c>
    </row>
    <row r="66" spans="1:3" ht="16.5">
      <c r="A66" s="8" t="s">
        <v>1075</v>
      </c>
      <c r="B66" s="180" t="s">
        <v>1086</v>
      </c>
      <c r="C66" s="170" t="s">
        <v>1087</v>
      </c>
    </row>
    <row r="67" spans="1:3" ht="16.5">
      <c r="A67" s="8" t="s">
        <v>1075</v>
      </c>
      <c r="B67" s="180" t="s">
        <v>1088</v>
      </c>
      <c r="C67" s="170" t="s">
        <v>1089</v>
      </c>
    </row>
    <row r="68" spans="1:3" ht="16.5">
      <c r="A68" s="8" t="s">
        <v>1075</v>
      </c>
      <c r="B68" s="180" t="s">
        <v>1090</v>
      </c>
      <c r="C68" s="170" t="s">
        <v>1091</v>
      </c>
    </row>
    <row r="69" spans="1:3" ht="16.5">
      <c r="A69" s="8" t="s">
        <v>1075</v>
      </c>
      <c r="B69" s="170" t="s">
        <v>1092</v>
      </c>
      <c r="C69" s="170" t="s">
        <v>1093</v>
      </c>
    </row>
    <row r="70" spans="1:3" ht="16.5">
      <c r="A70" s="8" t="s">
        <v>1075</v>
      </c>
      <c r="B70" s="170" t="s">
        <v>1094</v>
      </c>
      <c r="C70" s="170" t="s">
        <v>1095</v>
      </c>
    </row>
    <row r="71" spans="1:3" ht="16.5">
      <c r="A71" s="8" t="s">
        <v>1075</v>
      </c>
      <c r="B71" s="178" t="s">
        <v>1096</v>
      </c>
      <c r="C71" s="170" t="s">
        <v>1097</v>
      </c>
    </row>
    <row r="72" spans="1:3" ht="16.5">
      <c r="A72" s="8" t="s">
        <v>1075</v>
      </c>
      <c r="B72" s="170" t="s">
        <v>1098</v>
      </c>
      <c r="C72" s="170" t="s">
        <v>1099</v>
      </c>
    </row>
    <row r="73" spans="1:3" ht="16.5">
      <c r="A73" s="8" t="s">
        <v>1075</v>
      </c>
      <c r="B73" s="178" t="s">
        <v>1100</v>
      </c>
      <c r="C73" s="170" t="s">
        <v>1101</v>
      </c>
    </row>
    <row r="74" spans="1:3" ht="16.5">
      <c r="A74" s="8" t="s">
        <v>1075</v>
      </c>
      <c r="B74" s="170" t="s">
        <v>1102</v>
      </c>
      <c r="C74" s="170" t="s">
        <v>1103</v>
      </c>
    </row>
    <row r="75" spans="1:3" ht="16.5">
      <c r="A75" s="8" t="s">
        <v>1075</v>
      </c>
      <c r="B75" s="178" t="s">
        <v>1447</v>
      </c>
      <c r="C75" s="170" t="s">
        <v>1104</v>
      </c>
    </row>
    <row r="76" spans="1:3" ht="16.5">
      <c r="A76" s="8" t="s">
        <v>1075</v>
      </c>
      <c r="B76" s="170" t="s">
        <v>1105</v>
      </c>
      <c r="C76" s="170" t="s">
        <v>1106</v>
      </c>
    </row>
    <row r="77" spans="1:3" ht="16.5">
      <c r="A77" s="8" t="s">
        <v>1075</v>
      </c>
      <c r="B77" s="178" t="s">
        <v>1107</v>
      </c>
      <c r="C77" s="170" t="s">
        <v>1108</v>
      </c>
    </row>
    <row r="78" spans="1:3" ht="16.5">
      <c r="A78" s="8" t="s">
        <v>1075</v>
      </c>
      <c r="B78" s="170" t="s">
        <v>1109</v>
      </c>
      <c r="C78" s="170" t="s">
        <v>1110</v>
      </c>
    </row>
    <row r="79" spans="1:3" ht="16.5">
      <c r="A79" s="8" t="s">
        <v>1453</v>
      </c>
      <c r="B79" s="170" t="s">
        <v>1111</v>
      </c>
      <c r="C79" s="170" t="s">
        <v>1112</v>
      </c>
    </row>
    <row r="80" spans="1:3" ht="16.5">
      <c r="A80" s="8" t="s">
        <v>1075</v>
      </c>
      <c r="B80" s="170" t="s">
        <v>1113</v>
      </c>
      <c r="C80" s="170" t="s">
        <v>1114</v>
      </c>
    </row>
    <row r="81" spans="1:3" ht="16.5">
      <c r="A81" s="8" t="s">
        <v>1075</v>
      </c>
      <c r="B81" s="178" t="s">
        <v>1115</v>
      </c>
      <c r="C81" s="170" t="s">
        <v>1116</v>
      </c>
    </row>
    <row r="82" spans="1:3" ht="16.5">
      <c r="A82" s="8" t="s">
        <v>1075</v>
      </c>
      <c r="B82" s="178" t="s">
        <v>1117</v>
      </c>
      <c r="C82" s="170" t="s">
        <v>1118</v>
      </c>
    </row>
    <row r="83" spans="1:3" ht="16.5">
      <c r="A83" s="8" t="s">
        <v>1075</v>
      </c>
      <c r="B83" s="170" t="s">
        <v>1119</v>
      </c>
      <c r="C83" s="170" t="s">
        <v>1120</v>
      </c>
    </row>
    <row r="84" spans="1:3" ht="16.5">
      <c r="A84" s="8" t="s">
        <v>1121</v>
      </c>
      <c r="B84" s="170" t="s">
        <v>1122</v>
      </c>
      <c r="C84" s="170" t="s">
        <v>1097</v>
      </c>
    </row>
    <row r="85" spans="1:3" ht="16.5">
      <c r="A85" s="8" t="s">
        <v>1121</v>
      </c>
      <c r="B85" s="170" t="s">
        <v>1123</v>
      </c>
      <c r="C85" s="170" t="s">
        <v>1124</v>
      </c>
    </row>
    <row r="86" spans="1:3" ht="33">
      <c r="A86" s="8" t="s">
        <v>1121</v>
      </c>
      <c r="B86" s="170" t="s">
        <v>1125</v>
      </c>
      <c r="C86" s="170" t="s">
        <v>1126</v>
      </c>
    </row>
    <row r="87" spans="1:3" ht="49.5">
      <c r="A87" s="8" t="s">
        <v>1121</v>
      </c>
      <c r="B87" s="170" t="s">
        <v>1127</v>
      </c>
      <c r="C87" s="170" t="s">
        <v>1128</v>
      </c>
    </row>
    <row r="88" spans="1:3" ht="33">
      <c r="A88" s="8" t="s">
        <v>1121</v>
      </c>
      <c r="B88" s="170" t="s">
        <v>1129</v>
      </c>
      <c r="C88" s="170" t="s">
        <v>1099</v>
      </c>
    </row>
    <row r="89" spans="1:3" ht="16.5">
      <c r="A89" s="8" t="s">
        <v>1121</v>
      </c>
      <c r="B89" s="170" t="s">
        <v>1130</v>
      </c>
      <c r="C89" s="170" t="s">
        <v>1131</v>
      </c>
    </row>
    <row r="90" spans="1:3" ht="16.5">
      <c r="A90" s="8" t="s">
        <v>1121</v>
      </c>
      <c r="B90" s="170" t="s">
        <v>1132</v>
      </c>
      <c r="C90" s="170" t="s">
        <v>1133</v>
      </c>
    </row>
    <row r="91" spans="1:3" ht="16.5">
      <c r="A91" s="8" t="s">
        <v>1134</v>
      </c>
      <c r="B91" s="170" t="s">
        <v>1135</v>
      </c>
      <c r="C91" s="170" t="s">
        <v>1097</v>
      </c>
    </row>
    <row r="92" spans="1:3" ht="33">
      <c r="A92" s="8" t="s">
        <v>1134</v>
      </c>
      <c r="B92" s="170" t="s">
        <v>1125</v>
      </c>
      <c r="C92" s="170" t="s">
        <v>1126</v>
      </c>
    </row>
    <row r="93" spans="1:3" ht="16.5">
      <c r="A93" s="8" t="s">
        <v>1134</v>
      </c>
      <c r="B93" s="170" t="s">
        <v>313</v>
      </c>
      <c r="C93" s="170" t="s">
        <v>1077</v>
      </c>
    </row>
    <row r="94" spans="1:3" ht="16.5">
      <c r="A94" s="8" t="s">
        <v>1134</v>
      </c>
      <c r="B94" s="170" t="s">
        <v>809</v>
      </c>
      <c r="C94" s="170" t="s">
        <v>1136</v>
      </c>
    </row>
    <row r="95" spans="1:3" ht="16.5">
      <c r="A95" s="8" t="s">
        <v>1134</v>
      </c>
      <c r="B95" s="170" t="s">
        <v>1137</v>
      </c>
      <c r="C95" s="170" t="s">
        <v>1081</v>
      </c>
    </row>
    <row r="96" spans="1:3" ht="16.5">
      <c r="A96" s="8" t="s">
        <v>1134</v>
      </c>
      <c r="B96" s="170" t="s">
        <v>1138</v>
      </c>
      <c r="C96" s="170" t="s">
        <v>1083</v>
      </c>
    </row>
    <row r="97" spans="1:3" ht="16.5">
      <c r="A97" s="8" t="s">
        <v>1134</v>
      </c>
      <c r="B97" s="170" t="s">
        <v>1139</v>
      </c>
      <c r="C97" s="170" t="s">
        <v>1085</v>
      </c>
    </row>
    <row r="98" spans="1:3" ht="16.5">
      <c r="A98" s="8" t="s">
        <v>1134</v>
      </c>
      <c r="B98" s="170" t="s">
        <v>1140</v>
      </c>
      <c r="C98" s="170" t="s">
        <v>1118</v>
      </c>
    </row>
    <row r="99" spans="1:3" ht="16.5">
      <c r="A99" s="8" t="s">
        <v>1134</v>
      </c>
      <c r="B99" s="170" t="s">
        <v>1141</v>
      </c>
      <c r="C99" s="170" t="s">
        <v>1142</v>
      </c>
    </row>
    <row r="100" spans="1:3" ht="16.5">
      <c r="A100" s="8" t="s">
        <v>1134</v>
      </c>
      <c r="B100" s="170" t="s">
        <v>1143</v>
      </c>
      <c r="C100" s="170" t="s">
        <v>1114</v>
      </c>
    </row>
    <row r="101" spans="1:3" ht="16.5">
      <c r="A101" s="8" t="s">
        <v>1134</v>
      </c>
      <c r="B101" s="170" t="s">
        <v>1130</v>
      </c>
      <c r="C101" s="170" t="s">
        <v>1144</v>
      </c>
    </row>
    <row r="102" spans="1:3" ht="16.5">
      <c r="A102" s="8" t="s">
        <v>1134</v>
      </c>
      <c r="B102" s="170" t="s">
        <v>1145</v>
      </c>
      <c r="C102" s="170" t="s">
        <v>1146</v>
      </c>
    </row>
    <row r="103" spans="1:3" ht="16.5">
      <c r="A103" s="8" t="s">
        <v>1134</v>
      </c>
      <c r="B103" s="170" t="s">
        <v>1147</v>
      </c>
      <c r="C103" s="170" t="s">
        <v>1148</v>
      </c>
    </row>
    <row r="104" spans="1:3" ht="16.5">
      <c r="A104" s="8" t="s">
        <v>1134</v>
      </c>
      <c r="B104" s="170" t="s">
        <v>1149</v>
      </c>
      <c r="C104" s="170" t="s">
        <v>1089</v>
      </c>
    </row>
    <row r="105" spans="1:3" ht="16.5">
      <c r="A105" s="8" t="s">
        <v>1134</v>
      </c>
      <c r="B105" s="170" t="s">
        <v>1150</v>
      </c>
      <c r="C105" s="170" t="s">
        <v>1151</v>
      </c>
    </row>
    <row r="107" spans="1:3">
      <c r="A107" s="7" t="s">
        <v>1152</v>
      </c>
    </row>
    <row r="109" spans="1:3">
      <c r="A109" s="7" t="s">
        <v>1153</v>
      </c>
    </row>
    <row r="111" spans="1:3">
      <c r="A111" s="7" t="s">
        <v>268</v>
      </c>
    </row>
    <row r="112" spans="1:3" ht="16.5">
      <c r="A112" s="7" t="s">
        <v>267</v>
      </c>
      <c r="B112" s="123"/>
    </row>
    <row r="113" spans="1:2" ht="16.5">
      <c r="A113" s="7" t="s">
        <v>1154</v>
      </c>
      <c r="B113" s="123"/>
    </row>
    <row r="114" spans="1:2">
      <c r="A114" s="7" t="s">
        <v>1354</v>
      </c>
    </row>
    <row r="115" spans="1:2">
      <c r="A115" s="7" t="s">
        <v>1355</v>
      </c>
    </row>
  </sheetData>
  <hyperlinks>
    <hyperlink ref="A107" r:id="rId1" xr:uid="{401D9987-07E3-4647-BB2B-7A903C380234}"/>
    <hyperlink ref="A109" r:id="rId2" location="log_format" display="https://nginx.org/en/docs/http/ngx_http_log_module.html - log_format" xr:uid="{DFDD8B62-3E12-40AE-AD46-FA136CBC8814}"/>
    <hyperlink ref="A111" r:id="rId3" xr:uid="{E175D41D-64C5-47F9-B506-B0F465F0D6E1}"/>
    <hyperlink ref="A112" r:id="rId4" xr:uid="{8270CEE3-8746-440A-B7C6-EF5D1D17561E}"/>
    <hyperlink ref="A113" r:id="rId5" xr:uid="{0D920FAD-D933-4929-8E3D-78B04A8578BE}"/>
    <hyperlink ref="A114" r:id="rId6" xr:uid="{F59092A8-E091-4E62-A4E8-B1766D61B7FF}"/>
    <hyperlink ref="A115" r:id="rId7" location="Access_Log_Valve" xr:uid="{FE163D57-19AF-44B5-9620-A2EE256B10BC}"/>
  </hyperlinks>
  <pageMargins left="0.7" right="0.7" top="0.75" bottom="0.75" header="0.3" footer="0.3"/>
  <pageSetup paperSize="9" orientation="portrait" verticalDpi="300"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0"/>
  <sheetViews>
    <sheetView zoomScale="85" zoomScaleNormal="85" workbookViewId="0">
      <selection activeCell="D35" sqref="D35"/>
    </sheetView>
  </sheetViews>
  <sheetFormatPr defaultRowHeight="15"/>
  <cols>
    <col min="1" max="1" width="12.42578125" bestFit="1" customWidth="1"/>
    <col min="2" max="2" width="18.42578125" bestFit="1" customWidth="1"/>
    <col min="3" max="3" width="18.5703125" bestFit="1" customWidth="1"/>
    <col min="4" max="4" width="80.85546875" bestFit="1" customWidth="1"/>
    <col min="11" max="11" width="20.42578125" customWidth="1"/>
    <col min="12" max="12" width="18.5703125" bestFit="1" customWidth="1"/>
    <col min="13" max="13" width="70.7109375" customWidth="1"/>
  </cols>
  <sheetData>
    <row r="1" spans="1:4">
      <c r="A1" s="25" t="s">
        <v>377</v>
      </c>
      <c r="B1" s="25" t="s">
        <v>379</v>
      </c>
      <c r="C1" s="25" t="s">
        <v>380</v>
      </c>
      <c r="D1" s="25" t="s">
        <v>391</v>
      </c>
    </row>
    <row r="2" spans="1:4">
      <c r="A2" s="256" t="s">
        <v>378</v>
      </c>
      <c r="B2" s="57" t="s">
        <v>381</v>
      </c>
      <c r="C2" s="57" t="s">
        <v>382</v>
      </c>
      <c r="D2" s="58" t="s">
        <v>398</v>
      </c>
    </row>
    <row r="3" spans="1:4">
      <c r="A3" s="256"/>
      <c r="B3" s="20" t="s">
        <v>262</v>
      </c>
      <c r="C3" s="20" t="s">
        <v>383</v>
      </c>
      <c r="D3" s="19" t="s">
        <v>398</v>
      </c>
    </row>
    <row r="4" spans="1:4">
      <c r="A4" s="256"/>
      <c r="B4" s="20" t="s">
        <v>384</v>
      </c>
      <c r="C4" s="20" t="s">
        <v>385</v>
      </c>
      <c r="D4" s="19" t="s">
        <v>399</v>
      </c>
    </row>
    <row r="5" spans="1:4">
      <c r="A5" s="256"/>
      <c r="B5" s="57" t="s">
        <v>543</v>
      </c>
      <c r="C5" s="57" t="s">
        <v>386</v>
      </c>
      <c r="D5" s="58" t="s">
        <v>399</v>
      </c>
    </row>
    <row r="6" spans="1:4">
      <c r="A6" s="256"/>
      <c r="B6" s="20" t="s">
        <v>387</v>
      </c>
      <c r="C6" s="20" t="s">
        <v>388</v>
      </c>
      <c r="D6" s="19" t="s">
        <v>400</v>
      </c>
    </row>
    <row r="7" spans="1:4">
      <c r="A7" s="256"/>
      <c r="B7" s="20" t="s">
        <v>389</v>
      </c>
      <c r="C7" s="20" t="s">
        <v>392</v>
      </c>
      <c r="D7" s="19" t="s">
        <v>390</v>
      </c>
    </row>
    <row r="9" spans="1:4">
      <c r="A9" s="25" t="s">
        <v>276</v>
      </c>
      <c r="B9" s="25" t="s">
        <v>401</v>
      </c>
    </row>
    <row r="10" spans="1:4">
      <c r="A10" s="20">
        <v>1</v>
      </c>
      <c r="B10" s="19" t="s">
        <v>277</v>
      </c>
    </row>
    <row r="11" spans="1:4">
      <c r="A11" s="20">
        <v>2</v>
      </c>
      <c r="B11" s="19" t="s">
        <v>278</v>
      </c>
    </row>
    <row r="12" spans="1:4">
      <c r="A12" s="20">
        <v>3</v>
      </c>
      <c r="B12" s="19" t="s">
        <v>397</v>
      </c>
    </row>
    <row r="13" spans="1:4">
      <c r="A13" s="20">
        <v>3</v>
      </c>
      <c r="B13" s="19" t="s">
        <v>279</v>
      </c>
    </row>
    <row r="14" spans="1:4">
      <c r="A14" s="20">
        <v>4</v>
      </c>
      <c r="B14" s="19" t="s">
        <v>396</v>
      </c>
    </row>
    <row r="15" spans="1:4">
      <c r="A15" s="20">
        <v>5</v>
      </c>
      <c r="B15" s="19" t="s">
        <v>280</v>
      </c>
    </row>
    <row r="17" spans="1:2">
      <c r="A17" t="s">
        <v>281</v>
      </c>
    </row>
    <row r="18" spans="1:2">
      <c r="A18" t="s">
        <v>282</v>
      </c>
    </row>
    <row r="19" spans="1:2">
      <c r="A19" t="s">
        <v>283</v>
      </c>
      <c r="B19" t="s">
        <v>402</v>
      </c>
    </row>
    <row r="20" spans="1:2">
      <c r="A20" t="s">
        <v>284</v>
      </c>
    </row>
  </sheetData>
  <mergeCells count="1">
    <mergeCell ref="A2:A7"/>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48"/>
  <sheetViews>
    <sheetView topLeftCell="A10" zoomScale="85" zoomScaleNormal="85" workbookViewId="0">
      <selection activeCell="A42" sqref="A42:A43"/>
    </sheetView>
  </sheetViews>
  <sheetFormatPr defaultRowHeight="15"/>
  <cols>
    <col min="1" max="1" width="62.42578125" customWidth="1"/>
  </cols>
  <sheetData>
    <row r="1" spans="1:1">
      <c r="A1" s="4" t="s">
        <v>5</v>
      </c>
    </row>
    <row r="2" spans="1:1">
      <c r="A2" t="s">
        <v>7</v>
      </c>
    </row>
    <row r="3" spans="1:1">
      <c r="A3" t="s">
        <v>8</v>
      </c>
    </row>
    <row r="4" spans="1:1">
      <c r="A4" s="1" t="s">
        <v>9</v>
      </c>
    </row>
    <row r="5" spans="1:1">
      <c r="A5" t="s">
        <v>10</v>
      </c>
    </row>
    <row r="6" spans="1:1">
      <c r="A6" s="1" t="s">
        <v>11</v>
      </c>
    </row>
    <row r="7" spans="1:1">
      <c r="A7" t="s">
        <v>12</v>
      </c>
    </row>
    <row r="8" spans="1:1">
      <c r="A8" t="s">
        <v>13</v>
      </c>
    </row>
    <row r="9" spans="1:1">
      <c r="A9" t="s">
        <v>14</v>
      </c>
    </row>
    <row r="10" spans="1:1">
      <c r="A10" s="1" t="s">
        <v>15</v>
      </c>
    </row>
    <row r="11" spans="1:1">
      <c r="A11" t="s">
        <v>16</v>
      </c>
    </row>
    <row r="12" spans="1:1">
      <c r="A12" t="s">
        <v>17</v>
      </c>
    </row>
    <row r="13" spans="1:1">
      <c r="A13" s="1" t="s">
        <v>18</v>
      </c>
    </row>
    <row r="14" spans="1:1">
      <c r="A14" s="2" t="s">
        <v>19</v>
      </c>
    </row>
    <row r="15" spans="1:1">
      <c r="A15" s="2" t="s">
        <v>20</v>
      </c>
    </row>
    <row r="16" spans="1:1">
      <c r="A16" t="s">
        <v>21</v>
      </c>
    </row>
    <row r="17" spans="1:2">
      <c r="A17" s="6" t="s">
        <v>22</v>
      </c>
    </row>
    <row r="18" spans="1:2">
      <c r="A18" s="1" t="s">
        <v>23</v>
      </c>
    </row>
    <row r="19" spans="1:2">
      <c r="A19" s="1" t="s">
        <v>24</v>
      </c>
    </row>
    <row r="20" spans="1:2">
      <c r="A20" s="2" t="s">
        <v>25</v>
      </c>
    </row>
    <row r="21" spans="1:2">
      <c r="A21" s="2" t="s">
        <v>26</v>
      </c>
    </row>
    <row r="22" spans="1:2">
      <c r="A22" s="3" t="s">
        <v>53</v>
      </c>
    </row>
    <row r="23" spans="1:2">
      <c r="A23" t="s">
        <v>48</v>
      </c>
    </row>
    <row r="24" spans="1:2">
      <c r="A24" s="1" t="s">
        <v>27</v>
      </c>
    </row>
    <row r="25" spans="1:2">
      <c r="A25" s="1" t="s">
        <v>28</v>
      </c>
    </row>
    <row r="26" spans="1:2">
      <c r="A26" s="5" t="s">
        <v>29</v>
      </c>
      <c r="B26" s="5" t="s">
        <v>54</v>
      </c>
    </row>
    <row r="27" spans="1:2">
      <c r="A27" s="5" t="s">
        <v>30</v>
      </c>
    </row>
    <row r="28" spans="1:2">
      <c r="A28" t="s">
        <v>31</v>
      </c>
    </row>
    <row r="29" spans="1:2">
      <c r="A29" s="1" t="s">
        <v>32</v>
      </c>
    </row>
    <row r="30" spans="1:2">
      <c r="A30" s="2" t="s">
        <v>33</v>
      </c>
    </row>
    <row r="31" spans="1:2">
      <c r="A31" s="2" t="s">
        <v>49</v>
      </c>
    </row>
    <row r="32" spans="1:2">
      <c r="A32" s="2" t="s">
        <v>34</v>
      </c>
    </row>
    <row r="33" spans="1:2">
      <c r="A33" s="1" t="s">
        <v>35</v>
      </c>
    </row>
    <row r="34" spans="1:2">
      <c r="A34" s="2" t="s">
        <v>36</v>
      </c>
    </row>
    <row r="35" spans="1:2">
      <c r="A35" s="2" t="s">
        <v>37</v>
      </c>
    </row>
    <row r="36" spans="1:2">
      <c r="A36" s="6" t="s">
        <v>38</v>
      </c>
      <c r="B36" s="6" t="s">
        <v>55</v>
      </c>
    </row>
    <row r="37" spans="1:2">
      <c r="A37" s="1" t="s">
        <v>50</v>
      </c>
    </row>
    <row r="38" spans="1:2">
      <c r="A38" s="1" t="s">
        <v>39</v>
      </c>
    </row>
    <row r="39" spans="1:2">
      <c r="A39" s="2" t="s">
        <v>40</v>
      </c>
    </row>
    <row r="40" spans="1:2">
      <c r="A40" s="2" t="s">
        <v>41</v>
      </c>
    </row>
    <row r="41" spans="1:2">
      <c r="A41" t="s">
        <v>42</v>
      </c>
    </row>
    <row r="42" spans="1:2">
      <c r="A42" s="5" t="s">
        <v>43</v>
      </c>
    </row>
    <row r="43" spans="1:2">
      <c r="A43" s="5" t="s">
        <v>44</v>
      </c>
    </row>
    <row r="44" spans="1:2">
      <c r="A44" t="s">
        <v>45</v>
      </c>
    </row>
    <row r="45" spans="1:2">
      <c r="A45" s="1" t="s">
        <v>46</v>
      </c>
    </row>
    <row r="46" spans="1:2">
      <c r="A46" s="1" t="s">
        <v>51</v>
      </c>
    </row>
    <row r="47" spans="1:2">
      <c r="A47" s="2" t="s">
        <v>47</v>
      </c>
    </row>
    <row r="48" spans="1:2">
      <c r="A48" s="2" t="s">
        <v>52</v>
      </c>
    </row>
  </sheetData>
  <phoneticPr fontId="1" type="noConversion"/>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96"/>
  <sheetViews>
    <sheetView zoomScaleNormal="100" workbookViewId="0">
      <selection activeCell="B14" sqref="B14"/>
    </sheetView>
  </sheetViews>
  <sheetFormatPr defaultRowHeight="15"/>
  <cols>
    <col min="1" max="1" width="32.7109375" customWidth="1"/>
    <col min="2" max="2" width="16.140625" bestFit="1" customWidth="1"/>
  </cols>
  <sheetData>
    <row r="1" spans="1:5">
      <c r="A1" s="4" t="s">
        <v>5</v>
      </c>
      <c r="E1" t="s">
        <v>273</v>
      </c>
    </row>
    <row r="2" spans="1:5">
      <c r="A2" t="s">
        <v>185</v>
      </c>
    </row>
    <row r="3" spans="1:5">
      <c r="A3" t="s">
        <v>186</v>
      </c>
    </row>
    <row r="4" spans="1:5">
      <c r="A4" s="6" t="s">
        <v>187</v>
      </c>
    </row>
    <row r="5" spans="1:5">
      <c r="A5" s="6" t="s">
        <v>188</v>
      </c>
    </row>
    <row r="6" spans="1:5">
      <c r="A6" s="1" t="s">
        <v>189</v>
      </c>
    </row>
    <row r="7" spans="1:5">
      <c r="A7" s="1" t="s">
        <v>190</v>
      </c>
    </row>
    <row r="8" spans="1:5">
      <c r="A8" s="1" t="s">
        <v>191</v>
      </c>
    </row>
    <row r="9" spans="1:5">
      <c r="A9" t="s">
        <v>192</v>
      </c>
    </row>
    <row r="10" spans="1:5">
      <c r="A10" s="6" t="s">
        <v>193</v>
      </c>
    </row>
    <row r="11" spans="1:5">
      <c r="A11" t="s">
        <v>194</v>
      </c>
    </row>
    <row r="12" spans="1:5">
      <c r="A12" t="s">
        <v>195</v>
      </c>
    </row>
    <row r="13" spans="1:5">
      <c r="A13" s="6" t="s">
        <v>196</v>
      </c>
    </row>
    <row r="14" spans="1:5">
      <c r="A14" s="4" t="s">
        <v>197</v>
      </c>
    </row>
    <row r="15" spans="1:5">
      <c r="A15" t="s">
        <v>198</v>
      </c>
    </row>
    <row r="16" spans="1:5">
      <c r="A16" t="s">
        <v>199</v>
      </c>
    </row>
    <row r="17" spans="1:3">
      <c r="A17" t="s">
        <v>200</v>
      </c>
    </row>
    <row r="18" spans="1:3">
      <c r="A18" t="s">
        <v>201</v>
      </c>
    </row>
    <row r="19" spans="1:3">
      <c r="A19" t="s">
        <v>202</v>
      </c>
    </row>
    <row r="20" spans="1:3">
      <c r="A20" t="s">
        <v>203</v>
      </c>
    </row>
    <row r="21" spans="1:3">
      <c r="A21" t="s">
        <v>204</v>
      </c>
    </row>
    <row r="22" spans="1:3">
      <c r="A22" t="s">
        <v>205</v>
      </c>
    </row>
    <row r="23" spans="1:3">
      <c r="A23" t="s">
        <v>206</v>
      </c>
    </row>
    <row r="24" spans="1:3">
      <c r="A24" t="s">
        <v>207</v>
      </c>
    </row>
    <row r="25" spans="1:3">
      <c r="A25" t="s">
        <v>208</v>
      </c>
    </row>
    <row r="26" spans="1:3">
      <c r="A26" t="s">
        <v>209</v>
      </c>
    </row>
    <row r="27" spans="1:3">
      <c r="A27" t="s">
        <v>210</v>
      </c>
    </row>
    <row r="28" spans="1:3">
      <c r="A28" t="s">
        <v>211</v>
      </c>
    </row>
    <row r="29" spans="1:3">
      <c r="A29" t="s">
        <v>212</v>
      </c>
    </row>
    <row r="30" spans="1:3">
      <c r="A30" t="s">
        <v>213</v>
      </c>
    </row>
    <row r="31" spans="1:3">
      <c r="A31" s="4" t="s">
        <v>56</v>
      </c>
    </row>
    <row r="32" spans="1:3">
      <c r="A32" t="s">
        <v>123</v>
      </c>
      <c r="B32" t="s">
        <v>124</v>
      </c>
      <c r="C32" t="s">
        <v>125</v>
      </c>
    </row>
    <row r="33" spans="1:3">
      <c r="A33" t="s">
        <v>126</v>
      </c>
      <c r="B33" t="s">
        <v>124</v>
      </c>
      <c r="C33" t="s">
        <v>127</v>
      </c>
    </row>
    <row r="34" spans="1:3">
      <c r="A34" t="s">
        <v>128</v>
      </c>
      <c r="B34" t="s">
        <v>124</v>
      </c>
      <c r="C34" t="s">
        <v>129</v>
      </c>
    </row>
    <row r="35" spans="1:3">
      <c r="A35" t="s">
        <v>130</v>
      </c>
      <c r="B35" t="s">
        <v>124</v>
      </c>
      <c r="C35" t="s">
        <v>131</v>
      </c>
    </row>
    <row r="36" spans="1:3">
      <c r="A36" t="s">
        <v>132</v>
      </c>
      <c r="B36" t="s">
        <v>124</v>
      </c>
      <c r="C36" t="s">
        <v>133</v>
      </c>
    </row>
    <row r="37" spans="1:3">
      <c r="A37" t="s">
        <v>134</v>
      </c>
      <c r="B37" t="s">
        <v>124</v>
      </c>
      <c r="C37" t="s">
        <v>135</v>
      </c>
    </row>
    <row r="38" spans="1:3">
      <c r="A38" t="s">
        <v>136</v>
      </c>
      <c r="B38" t="s">
        <v>124</v>
      </c>
      <c r="C38" t="s">
        <v>137</v>
      </c>
    </row>
    <row r="39" spans="1:3">
      <c r="A39" t="s">
        <v>138</v>
      </c>
      <c r="B39" t="s">
        <v>124</v>
      </c>
      <c r="C39" t="s">
        <v>139</v>
      </c>
    </row>
    <row r="40" spans="1:3">
      <c r="A40" t="s">
        <v>140</v>
      </c>
      <c r="B40" t="s">
        <v>124</v>
      </c>
      <c r="C40" t="s">
        <v>141</v>
      </c>
    </row>
    <row r="41" spans="1:3">
      <c r="A41" t="s">
        <v>142</v>
      </c>
      <c r="B41" t="s">
        <v>124</v>
      </c>
      <c r="C41" t="s">
        <v>143</v>
      </c>
    </row>
    <row r="42" spans="1:3">
      <c r="A42" t="s">
        <v>126</v>
      </c>
      <c r="B42" t="s">
        <v>124</v>
      </c>
      <c r="C42" t="s">
        <v>144</v>
      </c>
    </row>
    <row r="43" spans="1:3">
      <c r="A43" t="s">
        <v>128</v>
      </c>
      <c r="B43" t="s">
        <v>124</v>
      </c>
      <c r="C43" t="s">
        <v>145</v>
      </c>
    </row>
    <row r="44" spans="1:3">
      <c r="A44" t="s">
        <v>130</v>
      </c>
      <c r="B44" t="s">
        <v>124</v>
      </c>
      <c r="C44" t="s">
        <v>146</v>
      </c>
    </row>
    <row r="45" spans="1:3">
      <c r="A45" t="s">
        <v>132</v>
      </c>
      <c r="B45" t="s">
        <v>124</v>
      </c>
      <c r="C45" t="s">
        <v>147</v>
      </c>
    </row>
    <row r="46" spans="1:3">
      <c r="A46" t="s">
        <v>134</v>
      </c>
      <c r="B46" t="s">
        <v>124</v>
      </c>
      <c r="C46" t="s">
        <v>148</v>
      </c>
    </row>
    <row r="47" spans="1:3">
      <c r="A47" t="s">
        <v>149</v>
      </c>
      <c r="B47" t="s">
        <v>124</v>
      </c>
      <c r="C47" t="s">
        <v>150</v>
      </c>
    </row>
    <row r="48" spans="1:3">
      <c r="A48" t="s">
        <v>151</v>
      </c>
      <c r="B48" t="s">
        <v>124</v>
      </c>
      <c r="C48" t="s">
        <v>152</v>
      </c>
    </row>
    <row r="49" spans="1:3">
      <c r="A49" t="s">
        <v>153</v>
      </c>
      <c r="B49" t="s">
        <v>124</v>
      </c>
      <c r="C49" t="s">
        <v>154</v>
      </c>
    </row>
    <row r="50" spans="1:3">
      <c r="A50" t="s">
        <v>136</v>
      </c>
      <c r="B50" t="s">
        <v>124</v>
      </c>
      <c r="C50" t="s">
        <v>155</v>
      </c>
    </row>
    <row r="51" spans="1:3">
      <c r="A51" t="s">
        <v>156</v>
      </c>
      <c r="B51" t="s">
        <v>124</v>
      </c>
      <c r="C51" t="s">
        <v>157</v>
      </c>
    </row>
    <row r="52" spans="1:3">
      <c r="A52" t="s">
        <v>158</v>
      </c>
      <c r="B52" t="s">
        <v>124</v>
      </c>
      <c r="C52" t="s">
        <v>159</v>
      </c>
    </row>
    <row r="53" spans="1:3">
      <c r="A53" t="s">
        <v>160</v>
      </c>
      <c r="B53" t="s">
        <v>124</v>
      </c>
      <c r="C53" t="s">
        <v>161</v>
      </c>
    </row>
    <row r="54" spans="1:3">
      <c r="A54" t="s">
        <v>162</v>
      </c>
      <c r="B54" t="s">
        <v>124</v>
      </c>
      <c r="C54" t="s">
        <v>163</v>
      </c>
    </row>
    <row r="55" spans="1:3">
      <c r="A55" t="s">
        <v>164</v>
      </c>
      <c r="B55" t="s">
        <v>124</v>
      </c>
      <c r="C55" t="s">
        <v>165</v>
      </c>
    </row>
    <row r="56" spans="1:3">
      <c r="A56" t="s">
        <v>166</v>
      </c>
      <c r="B56" t="s">
        <v>124</v>
      </c>
      <c r="C56" t="s">
        <v>167</v>
      </c>
    </row>
    <row r="57" spans="1:3">
      <c r="A57" t="s">
        <v>168</v>
      </c>
      <c r="B57" t="s">
        <v>124</v>
      </c>
      <c r="C57" t="s">
        <v>169</v>
      </c>
    </row>
    <row r="58" spans="1:3">
      <c r="A58" t="s">
        <v>170</v>
      </c>
      <c r="B58" t="s">
        <v>124</v>
      </c>
      <c r="C58" t="s">
        <v>171</v>
      </c>
    </row>
    <row r="59" spans="1:3">
      <c r="A59" t="s">
        <v>172</v>
      </c>
      <c r="B59" t="s">
        <v>124</v>
      </c>
      <c r="C59" t="s">
        <v>173</v>
      </c>
    </row>
    <row r="60" spans="1:3">
      <c r="A60" t="s">
        <v>174</v>
      </c>
      <c r="B60" t="s">
        <v>124</v>
      </c>
      <c r="C60" t="s">
        <v>175</v>
      </c>
    </row>
    <row r="61" spans="1:3">
      <c r="A61" t="s">
        <v>176</v>
      </c>
      <c r="B61" t="s">
        <v>124</v>
      </c>
      <c r="C61" t="s">
        <v>177</v>
      </c>
    </row>
    <row r="62" spans="1:3">
      <c r="A62" t="s">
        <v>178</v>
      </c>
      <c r="B62" t="s">
        <v>124</v>
      </c>
      <c r="C62" t="s">
        <v>179</v>
      </c>
    </row>
    <row r="63" spans="1:3">
      <c r="A63" t="s">
        <v>180</v>
      </c>
      <c r="B63" t="s">
        <v>124</v>
      </c>
      <c r="C63" t="s">
        <v>181</v>
      </c>
    </row>
    <row r="64" spans="1:3">
      <c r="A64" t="s">
        <v>182</v>
      </c>
      <c r="B64" t="s">
        <v>124</v>
      </c>
      <c r="C64" t="s">
        <v>183</v>
      </c>
    </row>
    <row r="65" spans="1:3">
      <c r="A65" t="s">
        <v>184</v>
      </c>
    </row>
    <row r="66" spans="1:3">
      <c r="A66" t="s">
        <v>57</v>
      </c>
      <c r="B66" t="s">
        <v>58</v>
      </c>
      <c r="C66" t="s">
        <v>59</v>
      </c>
    </row>
    <row r="67" spans="1:3">
      <c r="A67" t="s">
        <v>60</v>
      </c>
      <c r="B67" t="s">
        <v>58</v>
      </c>
      <c r="C67" t="s">
        <v>61</v>
      </c>
    </row>
    <row r="68" spans="1:3">
      <c r="A68" t="s">
        <v>62</v>
      </c>
      <c r="B68" t="s">
        <v>58</v>
      </c>
      <c r="C68" t="s">
        <v>63</v>
      </c>
    </row>
    <row r="69" spans="1:3">
      <c r="A69" t="s">
        <v>64</v>
      </c>
      <c r="B69" t="s">
        <v>58</v>
      </c>
      <c r="C69" t="s">
        <v>65</v>
      </c>
    </row>
    <row r="70" spans="1:3">
      <c r="A70" t="s">
        <v>66</v>
      </c>
      <c r="B70" t="s">
        <v>58</v>
      </c>
      <c r="C70" t="s">
        <v>67</v>
      </c>
    </row>
    <row r="71" spans="1:3">
      <c r="A71" t="s">
        <v>68</v>
      </c>
      <c r="B71" t="s">
        <v>58</v>
      </c>
      <c r="C71" t="s">
        <v>69</v>
      </c>
    </row>
    <row r="72" spans="1:3">
      <c r="A72" t="s">
        <v>70</v>
      </c>
      <c r="B72" t="s">
        <v>58</v>
      </c>
      <c r="C72" t="s">
        <v>71</v>
      </c>
    </row>
    <row r="73" spans="1:3">
      <c r="A73" t="s">
        <v>72</v>
      </c>
      <c r="B73" t="s">
        <v>58</v>
      </c>
      <c r="C73" t="s">
        <v>73</v>
      </c>
    </row>
    <row r="74" spans="1:3">
      <c r="A74" t="s">
        <v>74</v>
      </c>
      <c r="B74" t="s">
        <v>58</v>
      </c>
      <c r="C74" t="s">
        <v>75</v>
      </c>
    </row>
    <row r="75" spans="1:3">
      <c r="A75" t="s">
        <v>76</v>
      </c>
      <c r="B75" t="s">
        <v>58</v>
      </c>
      <c r="C75" t="s">
        <v>77</v>
      </c>
    </row>
    <row r="76" spans="1:3">
      <c r="A76" t="s">
        <v>78</v>
      </c>
      <c r="B76" t="s">
        <v>58</v>
      </c>
      <c r="C76" t="s">
        <v>79</v>
      </c>
    </row>
    <row r="77" spans="1:3">
      <c r="A77" t="s">
        <v>80</v>
      </c>
      <c r="B77" t="s">
        <v>81</v>
      </c>
      <c r="C77" t="s">
        <v>82</v>
      </c>
    </row>
    <row r="78" spans="1:3">
      <c r="A78" t="s">
        <v>83</v>
      </c>
      <c r="B78" t="s">
        <v>81</v>
      </c>
      <c r="C78" t="s">
        <v>84</v>
      </c>
    </row>
    <row r="79" spans="1:3">
      <c r="A79" t="s">
        <v>85</v>
      </c>
      <c r="B79" t="s">
        <v>81</v>
      </c>
      <c r="C79" t="s">
        <v>86</v>
      </c>
    </row>
    <row r="80" spans="1:3">
      <c r="A80" t="s">
        <v>87</v>
      </c>
      <c r="B80" t="s">
        <v>81</v>
      </c>
      <c r="C80" t="s">
        <v>88</v>
      </c>
    </row>
    <row r="81" spans="1:3">
      <c r="A81" t="s">
        <v>89</v>
      </c>
      <c r="B81" t="s">
        <v>81</v>
      </c>
      <c r="C81" t="s">
        <v>90</v>
      </c>
    </row>
    <row r="82" spans="1:3">
      <c r="A82" t="s">
        <v>91</v>
      </c>
      <c r="B82" t="s">
        <v>81</v>
      </c>
      <c r="C82" t="s">
        <v>92</v>
      </c>
    </row>
    <row r="83" spans="1:3">
      <c r="A83" t="s">
        <v>93</v>
      </c>
      <c r="B83" t="s">
        <v>81</v>
      </c>
      <c r="C83" t="s">
        <v>94</v>
      </c>
    </row>
    <row r="84" spans="1:3">
      <c r="A84" t="s">
        <v>95</v>
      </c>
      <c r="B84" t="s">
        <v>81</v>
      </c>
      <c r="C84" t="s">
        <v>96</v>
      </c>
    </row>
    <row r="85" spans="1:3">
      <c r="A85" t="s">
        <v>97</v>
      </c>
      <c r="B85" t="s">
        <v>81</v>
      </c>
      <c r="C85" t="s">
        <v>98</v>
      </c>
    </row>
    <row r="86" spans="1:3">
      <c r="A86" t="s">
        <v>99</v>
      </c>
      <c r="B86" t="s">
        <v>81</v>
      </c>
      <c r="C86" t="s">
        <v>100</v>
      </c>
    </row>
    <row r="87" spans="1:3">
      <c r="A87" t="s">
        <v>101</v>
      </c>
      <c r="B87" t="s">
        <v>81</v>
      </c>
      <c r="C87" t="s">
        <v>102</v>
      </c>
    </row>
    <row r="88" spans="1:3">
      <c r="A88" t="s">
        <v>103</v>
      </c>
      <c r="B88" t="s">
        <v>81</v>
      </c>
      <c r="C88" t="s">
        <v>104</v>
      </c>
    </row>
    <row r="89" spans="1:3">
      <c r="A89" t="s">
        <v>105</v>
      </c>
      <c r="B89" t="s">
        <v>81</v>
      </c>
      <c r="C89" t="s">
        <v>106</v>
      </c>
    </row>
    <row r="90" spans="1:3">
      <c r="A90" t="s">
        <v>107</v>
      </c>
      <c r="B90" t="s">
        <v>81</v>
      </c>
      <c r="C90" t="s">
        <v>108</v>
      </c>
    </row>
    <row r="91" spans="1:3">
      <c r="A91" t="s">
        <v>109</v>
      </c>
      <c r="B91" t="s">
        <v>81</v>
      </c>
      <c r="C91" t="s">
        <v>110</v>
      </c>
    </row>
    <row r="92" spans="1:3">
      <c r="A92" t="s">
        <v>111</v>
      </c>
      <c r="B92" t="s">
        <v>81</v>
      </c>
      <c r="C92" t="s">
        <v>112</v>
      </c>
    </row>
    <row r="93" spans="1:3">
      <c r="A93" t="s">
        <v>113</v>
      </c>
      <c r="B93" t="s">
        <v>81</v>
      </c>
      <c r="C93" t="s">
        <v>114</v>
      </c>
    </row>
    <row r="94" spans="1:3">
      <c r="A94" t="s">
        <v>115</v>
      </c>
      <c r="B94" t="s">
        <v>116</v>
      </c>
      <c r="C94" t="s">
        <v>117</v>
      </c>
    </row>
    <row r="95" spans="1:3">
      <c r="A95" t="s">
        <v>118</v>
      </c>
      <c r="B95" t="s">
        <v>116</v>
      </c>
      <c r="C95" t="s">
        <v>119</v>
      </c>
    </row>
    <row r="96" spans="1:3">
      <c r="A96" t="s">
        <v>120</v>
      </c>
      <c r="B96" t="s">
        <v>121</v>
      </c>
      <c r="C96" t="s">
        <v>122</v>
      </c>
    </row>
  </sheetData>
  <phoneticPr fontId="1" type="noConversion"/>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8"/>
  <sheetViews>
    <sheetView zoomScale="85" zoomScaleNormal="85" workbookViewId="0">
      <selection activeCell="K25" sqref="K25"/>
    </sheetView>
  </sheetViews>
  <sheetFormatPr defaultRowHeight="15"/>
  <cols>
    <col min="1" max="1" width="28.28515625" customWidth="1"/>
    <col min="2" max="2" width="38.42578125" bestFit="1" customWidth="1"/>
  </cols>
  <sheetData>
    <row r="1" spans="1:3">
      <c r="A1" s="4" t="s">
        <v>228</v>
      </c>
    </row>
    <row r="2" spans="1:3">
      <c r="A2" t="s">
        <v>214</v>
      </c>
    </row>
    <row r="3" spans="1:3">
      <c r="B3" t="s">
        <v>230</v>
      </c>
    </row>
    <row r="4" spans="1:3">
      <c r="B4" t="s">
        <v>231</v>
      </c>
    </row>
    <row r="5" spans="1:3">
      <c r="B5" t="s">
        <v>232</v>
      </c>
    </row>
    <row r="6" spans="1:3">
      <c r="A6" t="s">
        <v>229</v>
      </c>
    </row>
    <row r="7" spans="1:3">
      <c r="B7" t="s">
        <v>233</v>
      </c>
    </row>
    <row r="8" spans="1:3">
      <c r="B8" t="s">
        <v>234</v>
      </c>
    </row>
    <row r="9" spans="1:3">
      <c r="B9" t="s">
        <v>235</v>
      </c>
    </row>
    <row r="10" spans="1:3">
      <c r="B10" t="s">
        <v>236</v>
      </c>
      <c r="C10" t="s">
        <v>237</v>
      </c>
    </row>
    <row r="11" spans="1:3">
      <c r="A11" t="s">
        <v>215</v>
      </c>
    </row>
    <row r="12" spans="1:3">
      <c r="A12" t="s">
        <v>216</v>
      </c>
    </row>
    <row r="13" spans="1:3">
      <c r="B13" t="s">
        <v>238</v>
      </c>
    </row>
    <row r="14" spans="1:3">
      <c r="B14" t="s">
        <v>239</v>
      </c>
    </row>
    <row r="15" spans="1:3" ht="15.75">
      <c r="B15" t="s">
        <v>240</v>
      </c>
    </row>
    <row r="16" spans="1:3">
      <c r="A16" t="s">
        <v>217</v>
      </c>
      <c r="B16" t="s">
        <v>241</v>
      </c>
    </row>
    <row r="17" spans="1:5">
      <c r="A17" t="s">
        <v>218</v>
      </c>
      <c r="B17" t="s">
        <v>242</v>
      </c>
    </row>
    <row r="18" spans="1:5">
      <c r="B18" s="6" t="s">
        <v>243</v>
      </c>
    </row>
    <row r="19" spans="1:5">
      <c r="A19" t="s">
        <v>219</v>
      </c>
      <c r="B19" t="s">
        <v>244</v>
      </c>
    </row>
    <row r="20" spans="1:5">
      <c r="A20" t="s">
        <v>220</v>
      </c>
      <c r="B20" t="s">
        <v>245</v>
      </c>
    </row>
    <row r="21" spans="1:5">
      <c r="A21" t="s">
        <v>221</v>
      </c>
      <c r="B21" t="s">
        <v>246</v>
      </c>
      <c r="E21" t="s">
        <v>237</v>
      </c>
    </row>
    <row r="22" spans="1:5">
      <c r="A22" t="s">
        <v>222</v>
      </c>
      <c r="B22" s="6" t="s">
        <v>247</v>
      </c>
    </row>
    <row r="23" spans="1:5">
      <c r="A23" t="s">
        <v>223</v>
      </c>
      <c r="B23" t="s">
        <v>248</v>
      </c>
    </row>
    <row r="24" spans="1:5" ht="17.25">
      <c r="A24" t="s">
        <v>224</v>
      </c>
      <c r="B24" t="s">
        <v>249</v>
      </c>
    </row>
    <row r="25" spans="1:5">
      <c r="A25" s="1" t="s">
        <v>225</v>
      </c>
    </row>
    <row r="26" spans="1:5">
      <c r="A26" t="s">
        <v>226</v>
      </c>
      <c r="B26" t="s">
        <v>250</v>
      </c>
    </row>
    <row r="27" spans="1:5">
      <c r="A27" t="s">
        <v>227</v>
      </c>
      <c r="B27" t="s">
        <v>251</v>
      </c>
    </row>
    <row r="28" spans="1:5" ht="17.25">
      <c r="A28" s="1" t="s">
        <v>252</v>
      </c>
      <c r="B28" t="s">
        <v>253</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26</vt:i4>
      </vt:variant>
      <vt:variant>
        <vt:lpstr>이름 지정된 범위</vt:lpstr>
      </vt:variant>
      <vt:variant>
        <vt:i4>1</vt:i4>
      </vt:variant>
    </vt:vector>
  </HeadingPairs>
  <TitlesOfParts>
    <vt:vector size="27" baseType="lpstr">
      <vt:lpstr>UI</vt:lpstr>
      <vt:lpstr>UI_0401피드백</vt:lpstr>
      <vt:lpstr>UI_Initialization</vt:lpstr>
      <vt:lpstr>UI_Detail</vt:lpstr>
      <vt:lpstr>UI_LogFormat</vt:lpstr>
      <vt:lpstr>UI_Chart</vt:lpstr>
      <vt:lpstr>UI_Spinner_Progress</vt:lpstr>
      <vt:lpstr>Table</vt:lpstr>
      <vt:lpstr>Table_0408</vt:lpstr>
      <vt:lpstr>Table_0619_0429</vt:lpstr>
      <vt:lpstr>Table_2021</vt:lpstr>
      <vt:lpstr>log4j Format</vt:lpstr>
      <vt:lpstr>Pilot</vt:lpstr>
      <vt:lpstr>아키텍처</vt:lpstr>
      <vt:lpstr>기능요건</vt:lpstr>
      <vt:lpstr>추가기능_베타서비스포함_TODO</vt:lpstr>
      <vt:lpstr>기능요건_피드백</vt:lpstr>
      <vt:lpstr>비기능요건</vt:lpstr>
      <vt:lpstr>배포정리_TODO</vt:lpstr>
      <vt:lpstr>성능테스트_0717</vt:lpstr>
      <vt:lpstr>지원포맷</vt:lpstr>
      <vt:lpstr>로그로맷 항목설명</vt:lpstr>
      <vt:lpstr>고려사항</vt:lpstr>
      <vt:lpstr>기능 - AWStats</vt:lpstr>
      <vt:lpstr>기능 - apachelogviewer</vt:lpstr>
      <vt:lpstr>기능 - goaccess</vt:lpstr>
      <vt:lpstr>기능요건!Print_Area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2021-06-10T01:59:31Z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296440AE7F1224C4E50A59EA7348853D2BF6AD34D506A00B5250847B2E4AB9916BC2B06327A143096E7C30B9B3CA3EFF43189E1768FF9312B6B9A9596BC76A85</vt:lpwstr>
  </property>
  <property fmtid="{D5CDD505-2E9C-101B-9397-08002B2CF9AE}" pid="4" name="NSCPROP_SA">
    <vt:lpwstr>C:\Users\hs9654.lee\Desktop\업무\20200731_0129_LogAnalyzer\기능리스트.xlsx</vt:lpwstr>
  </property>
</Properties>
</file>